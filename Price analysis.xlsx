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defaultThemeVersion="202300"/>
  <mc:AlternateContent xmlns:mc="http://schemas.openxmlformats.org/markup-compatibility/2006">
    <mc:Choice Requires="x15">
      <x15ac:absPath xmlns:x15ac="http://schemas.microsoft.com/office/spreadsheetml/2010/11/ac" url="/Users/suprit/Desktop/"/>
    </mc:Choice>
  </mc:AlternateContent>
  <xr:revisionPtr revIDLastSave="0" documentId="13_ncr:1_{EBFBC563-1686-CF44-88DC-119F76942B04}" xr6:coauthVersionLast="47" xr6:coauthVersionMax="47" xr10:uidLastSave="{00000000-0000-0000-0000-000000000000}"/>
  <bookViews>
    <workbookView xWindow="4420" yWindow="660" windowWidth="24980" windowHeight="16900" activeTab="3" xr2:uid="{9994CCC8-E387-B244-8F5C-1DF9EF56533D}"/>
  </bookViews>
  <sheets>
    <sheet name="Europcar rates" sheetId="1" r:id="rId1"/>
    <sheet name="Competitor's Rate" sheetId="2" r:id="rId2"/>
    <sheet name="Variance Analysis" sheetId="3" r:id="rId3"/>
    <sheet name="Dashboard"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1" i="1" l="1"/>
  <c r="C21" i="1"/>
  <c r="D16" i="1"/>
  <c r="G22" i="1"/>
  <c r="G21" i="1"/>
  <c r="P61" i="3" s="1"/>
  <c r="G20" i="1"/>
  <c r="P57" i="3" s="1"/>
  <c r="G19" i="1"/>
  <c r="P53" i="3" s="1"/>
  <c r="G17" i="1"/>
  <c r="P49" i="3" s="1"/>
  <c r="G16" i="1"/>
  <c r="G15" i="1"/>
  <c r="P41" i="3" s="1"/>
  <c r="G14" i="1"/>
  <c r="G12" i="1"/>
  <c r="G11" i="1"/>
  <c r="G10" i="1"/>
  <c r="G9" i="1"/>
  <c r="G7" i="1"/>
  <c r="P17" i="3" s="1"/>
  <c r="L17" i="3" s="1"/>
  <c r="O17" i="3" s="1"/>
  <c r="G6" i="1"/>
  <c r="P13" i="3" s="1"/>
  <c r="G5" i="1"/>
  <c r="P9" i="3" s="1"/>
  <c r="G4" i="1"/>
  <c r="L36" i="3"/>
  <c r="O36" i="3" s="1"/>
  <c r="D66" i="3"/>
  <c r="E66" i="3"/>
  <c r="H66" i="3"/>
  <c r="D67" i="3"/>
  <c r="E67" i="3"/>
  <c r="F67" i="3"/>
  <c r="H67" i="3"/>
  <c r="D68" i="3"/>
  <c r="E68" i="3"/>
  <c r="H68" i="3"/>
  <c r="E65" i="3"/>
  <c r="F65" i="3"/>
  <c r="H65" i="3"/>
  <c r="D65" i="3"/>
  <c r="D62" i="3"/>
  <c r="E62" i="3"/>
  <c r="H62" i="3"/>
  <c r="D63" i="3"/>
  <c r="E63" i="3"/>
  <c r="H63" i="3"/>
  <c r="D64" i="3"/>
  <c r="E64" i="3"/>
  <c r="H64" i="3"/>
  <c r="E61" i="3"/>
  <c r="H61" i="3"/>
  <c r="D61" i="3"/>
  <c r="D58" i="3"/>
  <c r="E58" i="3"/>
  <c r="H58" i="3"/>
  <c r="D59" i="3"/>
  <c r="E59" i="3"/>
  <c r="H59" i="3"/>
  <c r="D60" i="3"/>
  <c r="E60" i="3"/>
  <c r="H60" i="3"/>
  <c r="E57" i="3"/>
  <c r="H57" i="3"/>
  <c r="D57" i="3"/>
  <c r="D54" i="3"/>
  <c r="E54" i="3"/>
  <c r="H54" i="3"/>
  <c r="D55" i="3"/>
  <c r="E55" i="3"/>
  <c r="H55" i="3"/>
  <c r="D56" i="3"/>
  <c r="E56" i="3"/>
  <c r="H56" i="3"/>
  <c r="E53" i="3"/>
  <c r="H53" i="3"/>
  <c r="D53" i="3"/>
  <c r="H50" i="3"/>
  <c r="D51" i="3"/>
  <c r="F51" i="3"/>
  <c r="H51" i="3"/>
  <c r="H52" i="3"/>
  <c r="F49" i="3"/>
  <c r="H49" i="3"/>
  <c r="D49" i="3"/>
  <c r="H34" i="3"/>
  <c r="D35" i="3"/>
  <c r="F35" i="3"/>
  <c r="H35" i="3"/>
  <c r="H36" i="3"/>
  <c r="F33" i="3"/>
  <c r="H33" i="3"/>
  <c r="D33" i="3"/>
  <c r="D19" i="3"/>
  <c r="F19" i="3"/>
  <c r="H20" i="3"/>
  <c r="F17" i="3"/>
  <c r="H17" i="3"/>
  <c r="D17" i="3"/>
  <c r="P65" i="3"/>
  <c r="P37" i="3"/>
  <c r="L34" i="3"/>
  <c r="N34" i="3" s="1"/>
  <c r="P33" i="3"/>
  <c r="L33" i="3" s="1"/>
  <c r="N33" i="3" s="1"/>
  <c r="P21" i="3"/>
  <c r="L19" i="3"/>
  <c r="O19" i="3" s="1"/>
  <c r="L46" i="3" l="1"/>
  <c r="L65" i="3"/>
  <c r="O65" i="3" s="1"/>
  <c r="P25" i="3"/>
  <c r="L35" i="3"/>
  <c r="O35" i="3" s="1"/>
  <c r="L66" i="3"/>
  <c r="O66" i="3" s="1"/>
  <c r="L49" i="3"/>
  <c r="N49" i="3" s="1"/>
  <c r="L61" i="3"/>
  <c r="P45" i="3"/>
  <c r="L45" i="3" s="1"/>
  <c r="L50" i="3"/>
  <c r="N50" i="3" s="1"/>
  <c r="P29" i="3"/>
  <c r="L51" i="3"/>
  <c r="N51" i="3" s="1"/>
  <c r="E30" i="4" s="1"/>
  <c r="L67" i="3"/>
  <c r="O67" i="3" s="1"/>
  <c r="L52" i="3"/>
  <c r="N52" i="3" s="1"/>
  <c r="E16" i="4" s="1"/>
  <c r="L68" i="3"/>
  <c r="O68" i="3" s="1"/>
  <c r="L48" i="3"/>
  <c r="L64" i="3"/>
  <c r="O34" i="3"/>
  <c r="O33" i="3"/>
  <c r="N17" i="3"/>
  <c r="N36" i="3"/>
  <c r="E15" i="4" s="1"/>
  <c r="N19" i="3"/>
  <c r="E28" i="4" s="1"/>
  <c r="P8" i="3"/>
  <c r="P7" i="3"/>
  <c r="P6" i="3"/>
  <c r="P5" i="3"/>
  <c r="L5" i="3" s="1"/>
  <c r="P20" i="2"/>
  <c r="F46" i="3" s="1"/>
  <c r="F26" i="2"/>
  <c r="H18" i="3" s="1"/>
  <c r="D26" i="2"/>
  <c r="F18" i="3" s="1"/>
  <c r="E26" i="2"/>
  <c r="G18" i="3" s="1"/>
  <c r="I18" i="3" s="1"/>
  <c r="E25" i="2"/>
  <c r="G17" i="3" s="1"/>
  <c r="C26" i="2"/>
  <c r="E18" i="3" s="1"/>
  <c r="C25" i="2"/>
  <c r="E17" i="3" s="1"/>
  <c r="J17" i="3" s="1"/>
  <c r="B26" i="2"/>
  <c r="D18" i="3" s="1"/>
  <c r="B20" i="2"/>
  <c r="D14" i="3" s="1"/>
  <c r="B19" i="2"/>
  <c r="D13" i="3" s="1"/>
  <c r="F20" i="2"/>
  <c r="H14" i="3" s="1"/>
  <c r="F19" i="2"/>
  <c r="H13" i="3" s="1"/>
  <c r="D14" i="2"/>
  <c r="F10" i="3" s="1"/>
  <c r="D20" i="2"/>
  <c r="F14" i="3" s="1"/>
  <c r="D19" i="2"/>
  <c r="F13" i="3" s="1"/>
  <c r="E20" i="2"/>
  <c r="G14" i="3" s="1"/>
  <c r="E19" i="2"/>
  <c r="G13" i="3" s="1"/>
  <c r="C20" i="2"/>
  <c r="E14" i="3" s="1"/>
  <c r="C19" i="2"/>
  <c r="E13" i="3" s="1"/>
  <c r="C14" i="2"/>
  <c r="E10" i="3" s="1"/>
  <c r="C13" i="2"/>
  <c r="E9" i="3" s="1"/>
  <c r="E14" i="2"/>
  <c r="G10" i="3" s="1"/>
  <c r="E13" i="2"/>
  <c r="G9" i="3" s="1"/>
  <c r="D13" i="2"/>
  <c r="F9" i="3" s="1"/>
  <c r="B14" i="2"/>
  <c r="D10" i="3" s="1"/>
  <c r="B13" i="2"/>
  <c r="D9" i="3" s="1"/>
  <c r="F14" i="2"/>
  <c r="H10" i="3" s="1"/>
  <c r="F13" i="2"/>
  <c r="H9" i="3" s="1"/>
  <c r="F8" i="2"/>
  <c r="H6" i="3" s="1"/>
  <c r="F7" i="2"/>
  <c r="H5" i="3" s="1"/>
  <c r="E8" i="2"/>
  <c r="G6" i="3" s="1"/>
  <c r="E7" i="2"/>
  <c r="G5" i="3" s="1"/>
  <c r="D8" i="2"/>
  <c r="F6" i="3" s="1"/>
  <c r="D7" i="2"/>
  <c r="F5" i="3" s="1"/>
  <c r="C8" i="2"/>
  <c r="E6" i="3" s="1"/>
  <c r="C7" i="2"/>
  <c r="E5" i="3" s="1"/>
  <c r="B8" i="2"/>
  <c r="D6" i="3" s="1"/>
  <c r="B7" i="2"/>
  <c r="D5" i="3" s="1"/>
  <c r="C28" i="2"/>
  <c r="E20" i="3" s="1"/>
  <c r="C27" i="2"/>
  <c r="E19" i="3" s="1"/>
  <c r="E28" i="2"/>
  <c r="G20" i="3" s="1"/>
  <c r="E27" i="2"/>
  <c r="G19" i="3" s="1"/>
  <c r="D28" i="2"/>
  <c r="F20" i="3" s="1"/>
  <c r="B28" i="2"/>
  <c r="D20" i="3" s="1"/>
  <c r="F27" i="2"/>
  <c r="H19" i="3" s="1"/>
  <c r="F22" i="2"/>
  <c r="H16" i="3" s="1"/>
  <c r="F21" i="2"/>
  <c r="H15" i="3" s="1"/>
  <c r="B22" i="2"/>
  <c r="D16" i="3" s="1"/>
  <c r="B21" i="2"/>
  <c r="D15" i="3" s="1"/>
  <c r="D22" i="2"/>
  <c r="F16" i="3" s="1"/>
  <c r="D21" i="2"/>
  <c r="F15" i="3" s="1"/>
  <c r="E22" i="2"/>
  <c r="G16" i="3" s="1"/>
  <c r="E21" i="2"/>
  <c r="G15" i="3" s="1"/>
  <c r="C22" i="2"/>
  <c r="E16" i="3" s="1"/>
  <c r="C21" i="2"/>
  <c r="E15" i="3" s="1"/>
  <c r="C16" i="2"/>
  <c r="E12" i="3" s="1"/>
  <c r="C15" i="2"/>
  <c r="E11" i="3" s="1"/>
  <c r="E16" i="2"/>
  <c r="G12" i="3" s="1"/>
  <c r="E15" i="2"/>
  <c r="G11" i="3" s="1"/>
  <c r="D16" i="2"/>
  <c r="F12" i="3" s="1"/>
  <c r="D15" i="2"/>
  <c r="F11" i="3" s="1"/>
  <c r="B16" i="2"/>
  <c r="D12" i="3" s="1"/>
  <c r="B15" i="2"/>
  <c r="D11" i="3" s="1"/>
  <c r="F16" i="2"/>
  <c r="H12" i="3" s="1"/>
  <c r="F15" i="2"/>
  <c r="H11" i="3" s="1"/>
  <c r="F10" i="2"/>
  <c r="H8" i="3" s="1"/>
  <c r="F9" i="2"/>
  <c r="H7" i="3" s="1"/>
  <c r="E10" i="2"/>
  <c r="G8" i="3" s="1"/>
  <c r="E9" i="2"/>
  <c r="G7" i="3" s="1"/>
  <c r="D10" i="2"/>
  <c r="F8" i="3" s="1"/>
  <c r="D9" i="2"/>
  <c r="F7" i="3" s="1"/>
  <c r="C10" i="2"/>
  <c r="E8" i="3" s="1"/>
  <c r="C9" i="2"/>
  <c r="E7" i="3" s="1"/>
  <c r="B10" i="2"/>
  <c r="D8" i="3" s="1"/>
  <c r="B9" i="2"/>
  <c r="D7" i="3" s="1"/>
  <c r="I26" i="2"/>
  <c r="E34" i="3" s="1"/>
  <c r="I25" i="2"/>
  <c r="E33" i="3" s="1"/>
  <c r="J26" i="2"/>
  <c r="F34" i="3" s="1"/>
  <c r="K26" i="2"/>
  <c r="G34" i="3" s="1"/>
  <c r="K25" i="2"/>
  <c r="G33" i="3" s="1"/>
  <c r="H26" i="2"/>
  <c r="D34" i="3" s="1"/>
  <c r="L20" i="2"/>
  <c r="H30" i="3" s="1"/>
  <c r="L19" i="2"/>
  <c r="H29" i="3" s="1"/>
  <c r="H20" i="2"/>
  <c r="D30" i="3" s="1"/>
  <c r="H19" i="2"/>
  <c r="D29" i="3" s="1"/>
  <c r="J20" i="2"/>
  <c r="F30" i="3" s="1"/>
  <c r="J19" i="2"/>
  <c r="F29" i="3" s="1"/>
  <c r="K20" i="2"/>
  <c r="G30" i="3" s="1"/>
  <c r="K19" i="2"/>
  <c r="G29" i="3" s="1"/>
  <c r="I20" i="2"/>
  <c r="E30" i="3" s="1"/>
  <c r="I19" i="2"/>
  <c r="E29" i="3" s="1"/>
  <c r="I14" i="2"/>
  <c r="E26" i="3" s="1"/>
  <c r="I13" i="2"/>
  <c r="E25" i="3" s="1"/>
  <c r="K14" i="2"/>
  <c r="G26" i="3" s="1"/>
  <c r="K13" i="2"/>
  <c r="G25" i="3" s="1"/>
  <c r="J14" i="2"/>
  <c r="F26" i="3" s="1"/>
  <c r="J13" i="2"/>
  <c r="F25" i="3" s="1"/>
  <c r="H14" i="2"/>
  <c r="D26" i="3" s="1"/>
  <c r="H13" i="2"/>
  <c r="D25" i="3" s="1"/>
  <c r="L14" i="2"/>
  <c r="H26" i="3" s="1"/>
  <c r="L13" i="2"/>
  <c r="H25" i="3" s="1"/>
  <c r="L8" i="2"/>
  <c r="H22" i="3" s="1"/>
  <c r="L7" i="2"/>
  <c r="H21" i="3" s="1"/>
  <c r="H8" i="2"/>
  <c r="D22" i="3" s="1"/>
  <c r="H7" i="2"/>
  <c r="D21" i="3" s="1"/>
  <c r="J8" i="2"/>
  <c r="F22" i="3" s="1"/>
  <c r="J7" i="2"/>
  <c r="F21" i="3" s="1"/>
  <c r="K8" i="2"/>
  <c r="G22" i="3" s="1"/>
  <c r="K7" i="2"/>
  <c r="G21" i="3" s="1"/>
  <c r="I8" i="2"/>
  <c r="E22" i="3" s="1"/>
  <c r="I7" i="2"/>
  <c r="E21" i="3" s="1"/>
  <c r="L22" i="2"/>
  <c r="H32" i="3" s="1"/>
  <c r="L21" i="2"/>
  <c r="H31" i="3" s="1"/>
  <c r="L16" i="2"/>
  <c r="H28" i="3" s="1"/>
  <c r="L15" i="2"/>
  <c r="H27" i="3" s="1"/>
  <c r="L10" i="2"/>
  <c r="H24" i="3" s="1"/>
  <c r="L9" i="2"/>
  <c r="H23" i="3" s="1"/>
  <c r="H10" i="2"/>
  <c r="D24" i="3" s="1"/>
  <c r="H9" i="2"/>
  <c r="D23" i="3" s="1"/>
  <c r="H16" i="2"/>
  <c r="D28" i="3" s="1"/>
  <c r="H15" i="2"/>
  <c r="D27" i="3" s="1"/>
  <c r="H22" i="2"/>
  <c r="D32" i="3" s="1"/>
  <c r="H21" i="2"/>
  <c r="D31" i="3" s="1"/>
  <c r="H28" i="2"/>
  <c r="D36" i="3" s="1"/>
  <c r="J28" i="2"/>
  <c r="F36" i="3" s="1"/>
  <c r="J22" i="2"/>
  <c r="F32" i="3" s="1"/>
  <c r="J21" i="2"/>
  <c r="F31" i="3" s="1"/>
  <c r="J16" i="2"/>
  <c r="F28" i="3" s="1"/>
  <c r="J15" i="2"/>
  <c r="F27" i="3" s="1"/>
  <c r="J10" i="2"/>
  <c r="F24" i="3" s="1"/>
  <c r="J9" i="2"/>
  <c r="F23" i="3" s="1"/>
  <c r="K10" i="2"/>
  <c r="G24" i="3" s="1"/>
  <c r="K9" i="2"/>
  <c r="G23" i="3" s="1"/>
  <c r="K16" i="2"/>
  <c r="G28" i="3" s="1"/>
  <c r="K15" i="2"/>
  <c r="G27" i="3" s="1"/>
  <c r="K22" i="2"/>
  <c r="G32" i="3" s="1"/>
  <c r="K21" i="2"/>
  <c r="G31" i="3" s="1"/>
  <c r="K28" i="2"/>
  <c r="G36" i="3" s="1"/>
  <c r="K27" i="2"/>
  <c r="G35" i="3" s="1"/>
  <c r="I28" i="2"/>
  <c r="E36" i="3" s="1"/>
  <c r="I27" i="2"/>
  <c r="E35" i="3" s="1"/>
  <c r="K35" i="3" s="1"/>
  <c r="I22" i="2"/>
  <c r="E32" i="3" s="1"/>
  <c r="I21" i="2"/>
  <c r="E31" i="3" s="1"/>
  <c r="I16" i="2"/>
  <c r="E28" i="3" s="1"/>
  <c r="I15" i="2"/>
  <c r="E27" i="3" s="1"/>
  <c r="I10" i="2"/>
  <c r="E24" i="3" s="1"/>
  <c r="I9" i="2"/>
  <c r="E23" i="3" s="1"/>
  <c r="R10" i="2"/>
  <c r="H40" i="3" s="1"/>
  <c r="R9" i="2"/>
  <c r="H39" i="3" s="1"/>
  <c r="R16" i="2"/>
  <c r="H44" i="3" s="1"/>
  <c r="R15" i="2"/>
  <c r="H43" i="3" s="1"/>
  <c r="R22" i="2"/>
  <c r="H48" i="3" s="1"/>
  <c r="R21" i="2"/>
  <c r="H47" i="3" s="1"/>
  <c r="N28" i="2"/>
  <c r="D52" i="3" s="1"/>
  <c r="N22" i="2"/>
  <c r="D48" i="3" s="1"/>
  <c r="N21" i="2"/>
  <c r="D47" i="3" s="1"/>
  <c r="N10" i="2"/>
  <c r="D40" i="3" s="1"/>
  <c r="N9" i="2"/>
  <c r="D39" i="3" s="1"/>
  <c r="N16" i="2"/>
  <c r="D44" i="3" s="1"/>
  <c r="N15" i="2"/>
  <c r="D43" i="3" s="1"/>
  <c r="P28" i="2"/>
  <c r="F52" i="3" s="1"/>
  <c r="P22" i="2"/>
  <c r="F48" i="3" s="1"/>
  <c r="P21" i="2"/>
  <c r="F47" i="3" s="1"/>
  <c r="P16" i="2"/>
  <c r="F44" i="3" s="1"/>
  <c r="P15" i="2"/>
  <c r="F43" i="3" s="1"/>
  <c r="P10" i="2"/>
  <c r="F40" i="3" s="1"/>
  <c r="P9" i="2"/>
  <c r="F39" i="3" s="1"/>
  <c r="Q10" i="2"/>
  <c r="G40" i="3" s="1"/>
  <c r="Q9" i="2"/>
  <c r="G39" i="3" s="1"/>
  <c r="Q16" i="2"/>
  <c r="G44" i="3" s="1"/>
  <c r="Q15" i="2"/>
  <c r="G43" i="3" s="1"/>
  <c r="Q28" i="2"/>
  <c r="G52" i="3" s="1"/>
  <c r="Q27" i="2"/>
  <c r="G51" i="3" s="1"/>
  <c r="O28" i="2"/>
  <c r="E52" i="3" s="1"/>
  <c r="O27" i="2"/>
  <c r="E51" i="3" s="1"/>
  <c r="I51" i="3" s="1"/>
  <c r="Q22" i="2"/>
  <c r="G48" i="3" s="1"/>
  <c r="Q21" i="2"/>
  <c r="G47" i="3" s="1"/>
  <c r="O22" i="2"/>
  <c r="E48" i="3" s="1"/>
  <c r="O21" i="2"/>
  <c r="E47" i="3" s="1"/>
  <c r="O10" i="2"/>
  <c r="E40" i="3" s="1"/>
  <c r="O9" i="2"/>
  <c r="E39" i="3" s="1"/>
  <c r="O16" i="2"/>
  <c r="E44" i="3" s="1"/>
  <c r="O15" i="2"/>
  <c r="E43" i="3" s="1"/>
  <c r="N26" i="2"/>
  <c r="D50" i="3" s="1"/>
  <c r="N20" i="2"/>
  <c r="D46" i="3" s="1"/>
  <c r="N19" i="2"/>
  <c r="D45" i="3" s="1"/>
  <c r="N14" i="2"/>
  <c r="D42" i="3" s="1"/>
  <c r="N13" i="2"/>
  <c r="D41" i="3" s="1"/>
  <c r="N8" i="2"/>
  <c r="D38" i="3" s="1"/>
  <c r="N7" i="2"/>
  <c r="D37" i="3" s="1"/>
  <c r="P26" i="2"/>
  <c r="F50" i="3" s="1"/>
  <c r="P19" i="2"/>
  <c r="F45" i="3" s="1"/>
  <c r="P14" i="2"/>
  <c r="F42" i="3" s="1"/>
  <c r="P13" i="2"/>
  <c r="F41" i="3" s="1"/>
  <c r="P8" i="2"/>
  <c r="F38" i="3" s="1"/>
  <c r="P7" i="2"/>
  <c r="F37" i="3" s="1"/>
  <c r="Q8" i="2"/>
  <c r="G38" i="3" s="1"/>
  <c r="Q7" i="2"/>
  <c r="G37" i="3" s="1"/>
  <c r="Q14" i="2"/>
  <c r="G42" i="3" s="1"/>
  <c r="Q13" i="2"/>
  <c r="G41" i="3" s="1"/>
  <c r="Q20" i="2"/>
  <c r="G46" i="3" s="1"/>
  <c r="Q19" i="2"/>
  <c r="G45" i="3" s="1"/>
  <c r="Q26" i="2"/>
  <c r="G50" i="3" s="1"/>
  <c r="Q25" i="2"/>
  <c r="G49" i="3" s="1"/>
  <c r="O26" i="2"/>
  <c r="E50" i="3" s="1"/>
  <c r="O25" i="2"/>
  <c r="E49" i="3" s="1"/>
  <c r="O14" i="2"/>
  <c r="E42" i="3" s="1"/>
  <c r="O13" i="2"/>
  <c r="E41" i="3" s="1"/>
  <c r="O8" i="2"/>
  <c r="E38" i="3" s="1"/>
  <c r="O7" i="2"/>
  <c r="E37" i="3" s="1"/>
  <c r="O20" i="2"/>
  <c r="E46" i="3" s="1"/>
  <c r="O19" i="2"/>
  <c r="E45" i="3" s="1"/>
  <c r="R20" i="2"/>
  <c r="H46" i="3" s="1"/>
  <c r="R19" i="2"/>
  <c r="H45" i="3" s="1"/>
  <c r="R8" i="2"/>
  <c r="H38" i="3" s="1"/>
  <c r="R7" i="2"/>
  <c r="H37" i="3" s="1"/>
  <c r="R14" i="2"/>
  <c r="H42" i="3" s="1"/>
  <c r="R13" i="2"/>
  <c r="H41" i="3" s="1"/>
  <c r="W8" i="2"/>
  <c r="G54" i="3" s="1"/>
  <c r="W7" i="2"/>
  <c r="G53" i="3" s="1"/>
  <c r="W14" i="2"/>
  <c r="G58" i="3" s="1"/>
  <c r="W13" i="2"/>
  <c r="G57" i="3" s="1"/>
  <c r="W20" i="2"/>
  <c r="G62" i="3" s="1"/>
  <c r="W19" i="2"/>
  <c r="G61" i="3" s="1"/>
  <c r="W27" i="2"/>
  <c r="G67" i="3" s="1"/>
  <c r="J67" i="3" s="1"/>
  <c r="W26" i="2"/>
  <c r="G66" i="3" s="1"/>
  <c r="W25" i="2"/>
  <c r="G65" i="3" s="1"/>
  <c r="K65" i="3" s="1"/>
  <c r="V26" i="2"/>
  <c r="F66" i="3" s="1"/>
  <c r="V20" i="2"/>
  <c r="F62" i="3" s="1"/>
  <c r="V19" i="2"/>
  <c r="F61" i="3" s="1"/>
  <c r="V14" i="2"/>
  <c r="F58" i="3" s="1"/>
  <c r="V13" i="2"/>
  <c r="F57" i="3" s="1"/>
  <c r="V8" i="2"/>
  <c r="F54" i="3" s="1"/>
  <c r="V7" i="2"/>
  <c r="F53" i="3" s="1"/>
  <c r="W10" i="2"/>
  <c r="G56" i="3" s="1"/>
  <c r="W9" i="2"/>
  <c r="G55" i="3" s="1"/>
  <c r="W16" i="2"/>
  <c r="G60" i="3" s="1"/>
  <c r="W15" i="2"/>
  <c r="G59" i="3" s="1"/>
  <c r="W22" i="2"/>
  <c r="G64" i="3" s="1"/>
  <c r="W21" i="2"/>
  <c r="G63" i="3" s="1"/>
  <c r="W28" i="2"/>
  <c r="G68" i="3" s="1"/>
  <c r="V28" i="2"/>
  <c r="F68" i="3" s="1"/>
  <c r="K68" i="3" s="1"/>
  <c r="V22" i="2"/>
  <c r="F64" i="3" s="1"/>
  <c r="V21" i="2"/>
  <c r="F63" i="3" s="1"/>
  <c r="V16" i="2"/>
  <c r="F60" i="3" s="1"/>
  <c r="V15" i="2"/>
  <c r="F59" i="3" s="1"/>
  <c r="V10" i="2"/>
  <c r="F56" i="3" s="1"/>
  <c r="V9" i="2"/>
  <c r="F55" i="3" s="1"/>
  <c r="G6" i="2"/>
  <c r="M6" i="2" s="1"/>
  <c r="S6" i="2" s="1"/>
  <c r="N6" i="2"/>
  <c r="T6" i="2" s="1"/>
  <c r="G12" i="2"/>
  <c r="M12" i="2" s="1"/>
  <c r="S12" i="2" s="1"/>
  <c r="H12" i="2"/>
  <c r="N12" i="2" s="1"/>
  <c r="T12" i="2" s="1"/>
  <c r="G18" i="2"/>
  <c r="M18" i="2" s="1"/>
  <c r="S18" i="2" s="1"/>
  <c r="H18" i="2"/>
  <c r="N18" i="2" s="1"/>
  <c r="T18" i="2" s="1"/>
  <c r="G24" i="2"/>
  <c r="M24" i="2" s="1"/>
  <c r="S24" i="2" s="1"/>
  <c r="H24" i="2"/>
  <c r="N24" i="2" s="1"/>
  <c r="T24" i="2" s="1"/>
  <c r="H5" i="2"/>
  <c r="N5" i="2" s="1"/>
  <c r="T5" i="2" s="1"/>
  <c r="I5" i="2"/>
  <c r="O5" i="2" s="1"/>
  <c r="U5" i="2" s="1"/>
  <c r="J5" i="2"/>
  <c r="P5" i="2" s="1"/>
  <c r="V5" i="2" s="1"/>
  <c r="K5" i="2"/>
  <c r="Q5" i="2" s="1"/>
  <c r="W5" i="2" s="1"/>
  <c r="L5" i="2"/>
  <c r="R5" i="2" s="1"/>
  <c r="X5" i="2" s="1"/>
  <c r="A7" i="2" a="1"/>
  <c r="A7" i="2" s="1"/>
  <c r="G7" i="2" s="1"/>
  <c r="M7" i="2" s="1"/>
  <c r="S7" i="2" s="1"/>
  <c r="F19" i="1"/>
  <c r="L56" i="3" s="1"/>
  <c r="E19" i="1"/>
  <c r="L55" i="3" s="1"/>
  <c r="F20" i="1"/>
  <c r="L60" i="3" s="1"/>
  <c r="E20" i="1"/>
  <c r="L59" i="3" s="1"/>
  <c r="E21" i="1"/>
  <c r="L63" i="3" s="1"/>
  <c r="D21" i="1"/>
  <c r="L62" i="3" s="1"/>
  <c r="D19" i="1"/>
  <c r="L54" i="3" s="1"/>
  <c r="C19" i="1"/>
  <c r="L53" i="3" s="1"/>
  <c r="D20" i="1"/>
  <c r="L58" i="3" s="1"/>
  <c r="C20" i="1"/>
  <c r="L57" i="3" s="1"/>
  <c r="D6" i="1"/>
  <c r="L14" i="3" s="1"/>
  <c r="C16" i="1"/>
  <c r="C6" i="1"/>
  <c r="L13" i="3" s="1"/>
  <c r="D15" i="1"/>
  <c r="L42" i="3" s="1"/>
  <c r="C15" i="1"/>
  <c r="L41" i="3" s="1"/>
  <c r="D14" i="1"/>
  <c r="L38" i="3" s="1"/>
  <c r="C14" i="1"/>
  <c r="L37" i="3" s="1"/>
  <c r="F14" i="1"/>
  <c r="L40" i="3" s="1"/>
  <c r="E14" i="1"/>
  <c r="L39" i="3" s="1"/>
  <c r="F15" i="1"/>
  <c r="L44" i="3" s="1"/>
  <c r="E15" i="1"/>
  <c r="L43" i="3" s="1"/>
  <c r="F16" i="1"/>
  <c r="E16" i="1"/>
  <c r="L47" i="3" s="1"/>
  <c r="F11" i="1"/>
  <c r="L32" i="3" s="1"/>
  <c r="E11" i="1"/>
  <c r="L31" i="3" s="1"/>
  <c r="F10" i="1"/>
  <c r="L28" i="3" s="1"/>
  <c r="E10" i="1"/>
  <c r="L27" i="3" s="1"/>
  <c r="F9" i="1"/>
  <c r="L24" i="3" s="1"/>
  <c r="E9" i="1"/>
  <c r="L23" i="3" s="1"/>
  <c r="D11" i="1"/>
  <c r="L30" i="3" s="1"/>
  <c r="C11" i="1"/>
  <c r="D10" i="1"/>
  <c r="L26" i="3" s="1"/>
  <c r="C10" i="1"/>
  <c r="C4" i="1"/>
  <c r="D9" i="1"/>
  <c r="L22" i="3" s="1"/>
  <c r="C9" i="1"/>
  <c r="L21" i="3" s="1"/>
  <c r="D7" i="1"/>
  <c r="L18" i="3" s="1"/>
  <c r="D5" i="1"/>
  <c r="L10" i="3" s="1"/>
  <c r="C5" i="1"/>
  <c r="L9" i="3" s="1"/>
  <c r="N9" i="3" s="1"/>
  <c r="D4" i="1"/>
  <c r="E4" i="1"/>
  <c r="F5" i="1"/>
  <c r="L12" i="3" s="1"/>
  <c r="E5" i="1"/>
  <c r="L11" i="3" s="1"/>
  <c r="F4" i="1"/>
  <c r="F7" i="1"/>
  <c r="L20" i="3" s="1"/>
  <c r="F6" i="1"/>
  <c r="L16" i="3" s="1"/>
  <c r="E6" i="1"/>
  <c r="L15" i="3" s="1"/>
  <c r="N65" i="3" l="1"/>
  <c r="B23" i="4"/>
  <c r="B24" i="4"/>
  <c r="L29" i="3"/>
  <c r="B22" i="4"/>
  <c r="L6" i="3"/>
  <c r="L25" i="3"/>
  <c r="O25" i="3" s="1"/>
  <c r="L7" i="3"/>
  <c r="B21" i="4" s="1"/>
  <c r="L8" i="3"/>
  <c r="B6" i="4" s="1"/>
  <c r="N18" i="3"/>
  <c r="J33" i="3"/>
  <c r="K59" i="3"/>
  <c r="J49" i="3"/>
  <c r="K47" i="3"/>
  <c r="K46" i="3"/>
  <c r="J6" i="3"/>
  <c r="K58" i="3"/>
  <c r="I61" i="3"/>
  <c r="N61" i="3" s="1"/>
  <c r="K28" i="3"/>
  <c r="K62" i="3"/>
  <c r="J56" i="3"/>
  <c r="K42" i="3"/>
  <c r="K40" i="3"/>
  <c r="K6" i="3"/>
  <c r="K60" i="3"/>
  <c r="I7" i="3"/>
  <c r="K17" i="3"/>
  <c r="K63" i="3"/>
  <c r="J53" i="3"/>
  <c r="K50" i="3"/>
  <c r="I52" i="3"/>
  <c r="K22" i="3"/>
  <c r="J30" i="3"/>
  <c r="J20" i="3"/>
  <c r="K64" i="3"/>
  <c r="K54" i="3"/>
  <c r="J31" i="3"/>
  <c r="K11" i="3"/>
  <c r="K18" i="3"/>
  <c r="K32" i="3"/>
  <c r="K12" i="3"/>
  <c r="J27" i="3"/>
  <c r="J34" i="3"/>
  <c r="I9" i="3"/>
  <c r="M9" i="3" s="1"/>
  <c r="K37" i="3"/>
  <c r="K43" i="3"/>
  <c r="K19" i="3"/>
  <c r="J13" i="3"/>
  <c r="J57" i="3"/>
  <c r="K44" i="3"/>
  <c r="K23" i="3"/>
  <c r="I25" i="3"/>
  <c r="K15" i="3"/>
  <c r="K14" i="3"/>
  <c r="K38" i="3"/>
  <c r="K55" i="3"/>
  <c r="J66" i="3"/>
  <c r="K41" i="3"/>
  <c r="J39" i="3"/>
  <c r="J24" i="3"/>
  <c r="K5" i="3"/>
  <c r="J9" i="3"/>
  <c r="I12" i="3"/>
  <c r="I17" i="3"/>
  <c r="I22" i="3"/>
  <c r="O22" i="3" s="1"/>
  <c r="I27" i="3"/>
  <c r="O27" i="3" s="1"/>
  <c r="I32" i="3"/>
  <c r="O32" i="3" s="1"/>
  <c r="I37" i="3"/>
  <c r="N37" i="3" s="1"/>
  <c r="K51" i="3"/>
  <c r="K56" i="3"/>
  <c r="K61" i="3"/>
  <c r="K66" i="3"/>
  <c r="J11" i="3"/>
  <c r="J55" i="3"/>
  <c r="J68" i="3"/>
  <c r="J45" i="3"/>
  <c r="J38" i="3"/>
  <c r="J46" i="3"/>
  <c r="J48" i="3"/>
  <c r="J21" i="3"/>
  <c r="J29" i="3"/>
  <c r="J7" i="3"/>
  <c r="J10" i="3"/>
  <c r="K7" i="3"/>
  <c r="K27" i="3"/>
  <c r="I42" i="3"/>
  <c r="O42" i="3" s="1"/>
  <c r="I47" i="3"/>
  <c r="N47" i="3" s="1"/>
  <c r="D30" i="4" s="1"/>
  <c r="I57" i="3"/>
  <c r="M57" i="3" s="1"/>
  <c r="I62" i="3"/>
  <c r="N62" i="3" s="1"/>
  <c r="I67" i="3"/>
  <c r="M67" i="3" s="1"/>
  <c r="J47" i="3"/>
  <c r="J43" i="3"/>
  <c r="J62" i="3"/>
  <c r="J52" i="3"/>
  <c r="J36" i="3"/>
  <c r="J22" i="3"/>
  <c r="J8" i="3"/>
  <c r="I8" i="3"/>
  <c r="I13" i="3"/>
  <c r="M13" i="3" s="1"/>
  <c r="I23" i="3"/>
  <c r="I28" i="3"/>
  <c r="I33" i="3"/>
  <c r="I38" i="3"/>
  <c r="K52" i="3"/>
  <c r="K57" i="3"/>
  <c r="K67" i="3"/>
  <c r="J23" i="3"/>
  <c r="J64" i="3"/>
  <c r="K8" i="3"/>
  <c r="K13" i="3"/>
  <c r="K33" i="3"/>
  <c r="I43" i="3"/>
  <c r="I48" i="3"/>
  <c r="I53" i="3"/>
  <c r="O53" i="3" s="1"/>
  <c r="I58" i="3"/>
  <c r="O58" i="3" s="1"/>
  <c r="I63" i="3"/>
  <c r="O63" i="3" s="1"/>
  <c r="I68" i="3"/>
  <c r="M68" i="3" s="1"/>
  <c r="J63" i="3"/>
  <c r="J15" i="3"/>
  <c r="J58" i="3"/>
  <c r="J32" i="3"/>
  <c r="J12" i="3"/>
  <c r="J19" i="3"/>
  <c r="I14" i="3"/>
  <c r="O14" i="3" s="1"/>
  <c r="I19" i="3"/>
  <c r="M19" i="3" s="1"/>
  <c r="I24" i="3"/>
  <c r="N24" i="3" s="1"/>
  <c r="B15" i="4" s="1"/>
  <c r="I29" i="3"/>
  <c r="I34" i="3"/>
  <c r="M34" i="3" s="1"/>
  <c r="I39" i="3"/>
  <c r="O39" i="3" s="1"/>
  <c r="K48" i="3"/>
  <c r="K53" i="3"/>
  <c r="J35" i="3"/>
  <c r="J59" i="3"/>
  <c r="K9" i="3"/>
  <c r="K24" i="3"/>
  <c r="K29" i="3"/>
  <c r="K34" i="3"/>
  <c r="K39" i="3"/>
  <c r="I44" i="3"/>
  <c r="N44" i="3" s="1"/>
  <c r="C16" i="4" s="1"/>
  <c r="I49" i="3"/>
  <c r="M49" i="3" s="1"/>
  <c r="I54" i="3"/>
  <c r="I59" i="3"/>
  <c r="I64" i="3"/>
  <c r="J65" i="3"/>
  <c r="J54" i="3"/>
  <c r="J37" i="3"/>
  <c r="J28" i="3"/>
  <c r="I5" i="3"/>
  <c r="N5" i="3" s="1"/>
  <c r="I10" i="3"/>
  <c r="M10" i="3" s="1"/>
  <c r="I15" i="3"/>
  <c r="M15" i="3" s="1"/>
  <c r="I20" i="3"/>
  <c r="M20" i="3" s="1"/>
  <c r="I30" i="3"/>
  <c r="O30" i="3" s="1"/>
  <c r="I35" i="3"/>
  <c r="I40" i="3"/>
  <c r="M40" i="3" s="1"/>
  <c r="K49" i="3"/>
  <c r="J60" i="3"/>
  <c r="J61" i="3"/>
  <c r="J44" i="3"/>
  <c r="J25" i="3"/>
  <c r="J14" i="3"/>
  <c r="K10" i="3"/>
  <c r="K20" i="3"/>
  <c r="K25" i="3"/>
  <c r="K30" i="3"/>
  <c r="I45" i="3"/>
  <c r="O45" i="3" s="1"/>
  <c r="I50" i="3"/>
  <c r="I55" i="3"/>
  <c r="C24" i="4" s="1"/>
  <c r="I60" i="3"/>
  <c r="C9" i="4" s="1"/>
  <c r="I65" i="3"/>
  <c r="M65" i="3" s="1"/>
  <c r="J50" i="3"/>
  <c r="J40" i="3"/>
  <c r="J26" i="3"/>
  <c r="J16" i="3"/>
  <c r="J5" i="3"/>
  <c r="J18" i="3"/>
  <c r="I6" i="3"/>
  <c r="I11" i="3"/>
  <c r="C21" i="4" s="1"/>
  <c r="I16" i="3"/>
  <c r="O16" i="3" s="1"/>
  <c r="I21" i="3"/>
  <c r="O21" i="3" s="1"/>
  <c r="I26" i="3"/>
  <c r="O26" i="3" s="1"/>
  <c r="I31" i="3"/>
  <c r="O31" i="3" s="1"/>
  <c r="I36" i="3"/>
  <c r="K45" i="3"/>
  <c r="J51" i="3"/>
  <c r="J41" i="3"/>
  <c r="J42" i="3"/>
  <c r="K16" i="3"/>
  <c r="K21" i="3"/>
  <c r="K26" i="3"/>
  <c r="K31" i="3"/>
  <c r="K36" i="3"/>
  <c r="I41" i="3"/>
  <c r="O41" i="3" s="1"/>
  <c r="I46" i="3"/>
  <c r="O46" i="3" s="1"/>
  <c r="I56" i="3"/>
  <c r="I66" i="3"/>
  <c r="M66" i="3" s="1"/>
  <c r="O56" i="3"/>
  <c r="N41" i="3"/>
  <c r="O55" i="3"/>
  <c r="N64" i="3"/>
  <c r="D17" i="4" s="1"/>
  <c r="O18" i="3"/>
  <c r="N31" i="3"/>
  <c r="D29" i="4" s="1"/>
  <c r="O59" i="3"/>
  <c r="O9" i="3"/>
  <c r="N20" i="3"/>
  <c r="E14" i="4" s="1"/>
  <c r="N48" i="3"/>
  <c r="D16" i="4" s="1"/>
  <c r="N43" i="3"/>
  <c r="C30" i="4" s="1"/>
  <c r="N53" i="3"/>
  <c r="N54" i="3"/>
  <c r="O38" i="3"/>
  <c r="O12" i="3"/>
  <c r="N30" i="3"/>
  <c r="O28" i="3"/>
  <c r="N40" i="3"/>
  <c r="B16" i="4" s="1"/>
  <c r="O20" i="3"/>
  <c r="N59" i="3"/>
  <c r="C31" i="4" s="1"/>
  <c r="N35" i="3"/>
  <c r="E29" i="4" s="1"/>
  <c r="O43" i="3"/>
  <c r="O51" i="3"/>
  <c r="O50" i="3"/>
  <c r="N45" i="3"/>
  <c r="M50" i="3"/>
  <c r="N38" i="3"/>
  <c r="B7" i="4"/>
  <c r="O49" i="3"/>
  <c r="M30" i="3"/>
  <c r="N28" i="3"/>
  <c r="C15" i="4" s="1"/>
  <c r="N66" i="3"/>
  <c r="O48" i="3"/>
  <c r="M60" i="3"/>
  <c r="N67" i="3"/>
  <c r="E31" i="4" s="1"/>
  <c r="B9" i="4"/>
  <c r="O54" i="3"/>
  <c r="O64" i="3"/>
  <c r="B8" i="4"/>
  <c r="O52" i="3"/>
  <c r="N56" i="3"/>
  <c r="B17" i="4" s="1"/>
  <c r="N68" i="3"/>
  <c r="E17" i="4" s="1"/>
  <c r="N7" i="3"/>
  <c r="B28" i="4" s="1"/>
  <c r="M25" i="3"/>
  <c r="M54" i="3"/>
  <c r="M43" i="3"/>
  <c r="M56" i="3"/>
  <c r="M33" i="3"/>
  <c r="M64" i="3"/>
  <c r="M59" i="3"/>
  <c r="M52" i="3"/>
  <c r="N14" i="3"/>
  <c r="M17" i="3"/>
  <c r="M26" i="3"/>
  <c r="M46" i="3"/>
  <c r="M36" i="3"/>
  <c r="M12" i="3"/>
  <c r="N12" i="3"/>
  <c r="C14" i="4" s="1"/>
  <c r="M35" i="3"/>
  <c r="M45" i="3"/>
  <c r="M18" i="3"/>
  <c r="M28" i="3"/>
  <c r="M38" i="3"/>
  <c r="M48" i="3"/>
  <c r="M31" i="3"/>
  <c r="M41" i="3"/>
  <c r="M51" i="3"/>
  <c r="A13" i="2"/>
  <c r="G10" i="2"/>
  <c r="M10" i="2" s="1"/>
  <c r="S10" i="2" s="1"/>
  <c r="A16" i="2"/>
  <c r="G9" i="2"/>
  <c r="M9" i="2" s="1"/>
  <c r="S9" i="2" s="1"/>
  <c r="G8" i="2"/>
  <c r="M8" i="2" s="1"/>
  <c r="S8" i="2" s="1"/>
  <c r="A14" i="2"/>
  <c r="A15" i="2"/>
  <c r="G15" i="2" s="1"/>
  <c r="M15" i="2" s="1"/>
  <c r="S15" i="2" s="1"/>
  <c r="N29" i="3" l="1"/>
  <c r="N6" i="3"/>
  <c r="N25" i="3"/>
  <c r="M8" i="3"/>
  <c r="O7" i="3"/>
  <c r="M61" i="3"/>
  <c r="O61" i="3"/>
  <c r="M7" i="3"/>
  <c r="O11" i="3"/>
  <c r="O29" i="3"/>
  <c r="N27" i="3"/>
  <c r="C29" i="4" s="1"/>
  <c r="M14" i="3"/>
  <c r="M53" i="3"/>
  <c r="O6" i="3"/>
  <c r="O60" i="3"/>
  <c r="C22" i="4"/>
  <c r="O5" i="3"/>
  <c r="M16" i="3"/>
  <c r="M42" i="3"/>
  <c r="C76" i="3" s="1"/>
  <c r="N8" i="3"/>
  <c r="B14" i="4" s="1"/>
  <c r="M22" i="3"/>
  <c r="M32" i="3"/>
  <c r="N58" i="3"/>
  <c r="O24" i="3"/>
  <c r="N16" i="3"/>
  <c r="D14" i="4" s="1"/>
  <c r="O40" i="3"/>
  <c r="O47" i="3"/>
  <c r="O37" i="3"/>
  <c r="M58" i="3"/>
  <c r="C77" i="3" s="1"/>
  <c r="N13" i="3"/>
  <c r="N11" i="3"/>
  <c r="C28" i="4" s="1"/>
  <c r="C7" i="4"/>
  <c r="F7" i="4" s="1"/>
  <c r="M23" i="3"/>
  <c r="N10" i="3"/>
  <c r="O62" i="3"/>
  <c r="N57" i="3"/>
  <c r="O13" i="3"/>
  <c r="M29" i="3"/>
  <c r="M47" i="3"/>
  <c r="D76" i="3" s="1"/>
  <c r="O57" i="3"/>
  <c r="M11" i="3"/>
  <c r="C74" i="3" s="1"/>
  <c r="M6" i="3"/>
  <c r="M55" i="3"/>
  <c r="B77" i="3" s="1"/>
  <c r="M5" i="3"/>
  <c r="O44" i="3"/>
  <c r="C6" i="4"/>
  <c r="F6" i="4" s="1"/>
  <c r="N32" i="3"/>
  <c r="D15" i="4" s="1"/>
  <c r="C23" i="4"/>
  <c r="D23" i="4" s="1"/>
  <c r="M39" i="3"/>
  <c r="N23" i="3"/>
  <c r="B29" i="4" s="1"/>
  <c r="O23" i="3"/>
  <c r="N15" i="3"/>
  <c r="D28" i="4" s="1"/>
  <c r="M62" i="3"/>
  <c r="M37" i="3"/>
  <c r="M63" i="3"/>
  <c r="N55" i="3"/>
  <c r="B31" i="4" s="1"/>
  <c r="O10" i="3"/>
  <c r="N42" i="3"/>
  <c r="N63" i="3"/>
  <c r="D31" i="4" s="1"/>
  <c r="C8" i="4"/>
  <c r="D8" i="4" s="1"/>
  <c r="D9" i="4"/>
  <c r="N21" i="3"/>
  <c r="O15" i="3"/>
  <c r="N60" i="3"/>
  <c r="C17" i="4" s="1"/>
  <c r="M44" i="3"/>
  <c r="O8" i="3"/>
  <c r="N39" i="3"/>
  <c r="B30" i="4" s="1"/>
  <c r="M21" i="3"/>
  <c r="M24" i="3"/>
  <c r="M27" i="3"/>
  <c r="C75" i="3" s="1"/>
  <c r="N22" i="3"/>
  <c r="N26" i="3"/>
  <c r="N46" i="3"/>
  <c r="F24" i="4"/>
  <c r="E24" i="4"/>
  <c r="D24" i="4"/>
  <c r="D21" i="4"/>
  <c r="E21" i="4"/>
  <c r="F21" i="4"/>
  <c r="E22" i="4"/>
  <c r="F22" i="4"/>
  <c r="D22" i="4"/>
  <c r="D7" i="4"/>
  <c r="E76" i="3"/>
  <c r="F9" i="4"/>
  <c r="E9" i="4"/>
  <c r="D74" i="3"/>
  <c r="E75" i="3"/>
  <c r="E74" i="3"/>
  <c r="D6" i="4"/>
  <c r="E6" i="4"/>
  <c r="E77" i="3"/>
  <c r="G14" i="2"/>
  <c r="M14" i="2" s="1"/>
  <c r="S14" i="2" s="1"/>
  <c r="A20" i="2"/>
  <c r="A22" i="2"/>
  <c r="G16" i="2"/>
  <c r="M16" i="2" s="1"/>
  <c r="S16" i="2" s="1"/>
  <c r="A21" i="2"/>
  <c r="G21" i="2" s="1"/>
  <c r="M21" i="2" s="1"/>
  <c r="S21" i="2" s="1"/>
  <c r="G13" i="2"/>
  <c r="M13" i="2" s="1"/>
  <c r="S13" i="2" s="1"/>
  <c r="A19" i="2"/>
  <c r="D77" i="3" l="1"/>
  <c r="B74" i="3"/>
  <c r="B76" i="3"/>
  <c r="F76" i="3" s="1"/>
  <c r="B75" i="3"/>
  <c r="B78" i="3" s="1"/>
  <c r="E7" i="4"/>
  <c r="D75" i="3"/>
  <c r="F8" i="4"/>
  <c r="E8" i="4"/>
  <c r="F23" i="4"/>
  <c r="E23" i="4"/>
  <c r="C78" i="3"/>
  <c r="F77" i="3"/>
  <c r="E78" i="3"/>
  <c r="F74" i="3"/>
  <c r="A27" i="2"/>
  <c r="G27" i="2" s="1"/>
  <c r="M27" i="2" s="1"/>
  <c r="S27" i="2" s="1"/>
  <c r="A25" i="2"/>
  <c r="G25" i="2" s="1"/>
  <c r="M25" i="2" s="1"/>
  <c r="S25" i="2" s="1"/>
  <c r="G19" i="2"/>
  <c r="M19" i="2" s="1"/>
  <c r="S19" i="2" s="1"/>
  <c r="A28" i="2"/>
  <c r="G28" i="2" s="1"/>
  <c r="M28" i="2" s="1"/>
  <c r="S28" i="2" s="1"/>
  <c r="G22" i="2"/>
  <c r="M22" i="2" s="1"/>
  <c r="S22" i="2" s="1"/>
  <c r="G20" i="2"/>
  <c r="M20" i="2" s="1"/>
  <c r="S20" i="2" s="1"/>
  <c r="A26" i="2"/>
  <c r="G26" i="2" s="1"/>
  <c r="M26" i="2" s="1"/>
  <c r="S26" i="2" s="1"/>
  <c r="F75" i="3" l="1"/>
  <c r="D7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<sst xmlns="http://schemas.openxmlformats.org/spreadsheetml/2006/main" count="510" uniqueCount="114">
  <si>
    <t>Location</t>
  </si>
  <si>
    <t xml:space="preserve">Vehicle Class </t>
  </si>
  <si>
    <t>Dublin Airport</t>
  </si>
  <si>
    <t>Economy</t>
  </si>
  <si>
    <t>Compact</t>
  </si>
  <si>
    <t>SUV</t>
  </si>
  <si>
    <t>People carrier</t>
  </si>
  <si>
    <t>High Season Manual</t>
  </si>
  <si>
    <t>Low Season Manual</t>
  </si>
  <si>
    <t>Low Season Auto</t>
  </si>
  <si>
    <t>High Season Auto</t>
  </si>
  <si>
    <t>Source site</t>
  </si>
  <si>
    <t>Dates consider for Low Season</t>
  </si>
  <si>
    <t>Dates consider for High Season</t>
  </si>
  <si>
    <t>rentalcars.com</t>
  </si>
  <si>
    <t>14-July- 2026 to 21-July- 2026</t>
  </si>
  <si>
    <t>Cars in each class</t>
  </si>
  <si>
    <t>Economy (Small Car)</t>
  </si>
  <si>
    <t>Compact (Medium Car)</t>
  </si>
  <si>
    <t>Notes</t>
  </si>
  <si>
    <t>Rates collected 29 Apr 2026 via rentalcars.com — lowest available rate per class recorded</t>
  </si>
  <si>
    <t>9-June-2026 to 16-June-2026</t>
  </si>
  <si>
    <t>Cork Airport</t>
  </si>
  <si>
    <t>-</t>
  </si>
  <si>
    <t>Shannon Airport</t>
  </si>
  <si>
    <t>No People Carrier available in Cork,Shannon</t>
  </si>
  <si>
    <t>SUV Automatic cheaper in Dublin as we have another car available under SUV at cheaper rate</t>
  </si>
  <si>
    <t>Galway</t>
  </si>
  <si>
    <t>Hertz</t>
  </si>
  <si>
    <t>Avis</t>
  </si>
  <si>
    <t>Enterprise</t>
  </si>
  <si>
    <t>Budget</t>
  </si>
  <si>
    <t>Sixt</t>
  </si>
  <si>
    <t>Class</t>
  </si>
  <si>
    <t>Cork  Airport</t>
  </si>
  <si>
    <t>People Carrier segment shows inverted seasonality — low season rates exceed high season due to corporate travel demand, limited fleet availability and reduced competition outside peak tourist season.</t>
  </si>
  <si>
    <t>I noticed the People Carrier segment showed an unusual pricing pattern — low season rates were actually higher than high season. This told me that seasonality affects different vehicle classes differently, and that a one-size-fits-all pricing approach wouldn't work across all segments.</t>
  </si>
  <si>
    <t>Hertz, Avis and Sixt do not operate at Galway. Only Enterprise and Budget provide car rental services at this location. Competitor analysis for Galway is therefore based on two suppliers only. This limited competition may contribute to higher pricing observed in this market.</t>
  </si>
  <si>
    <t>High difference between Automatic vehicle in high and low season seen significantly in Enterprises</t>
  </si>
  <si>
    <t>Budget (Cork): People carrier only VW Caddy available price is that high compare to manual as there is an cheaper option of Dacia Jogger</t>
  </si>
  <si>
    <t>Opel Astra, Ford Focus, Toyota Auris, Seat Leon</t>
  </si>
  <si>
    <t>Renault Captur, Nissan Juke, Nissan Qashqai, Ford Puma, Volkswagen T-cross</t>
  </si>
  <si>
    <t>No as such big seven seater car with Europcar, as seen sister concern Go Car provides seven seater at hourly and cheaper rate</t>
  </si>
  <si>
    <t>Renault Trafic, Ford Transit, Nissan Qashqai,Skoda Kodiaq, Dacia Jogger, Volkswagen Caddy</t>
  </si>
  <si>
    <t>Dates consider for above data</t>
  </si>
  <si>
    <t>Europcar Rates (As on 29/04/2026)</t>
  </si>
  <si>
    <t>Competitor's  Rate (County-wise) -As on 29/04/2026</t>
  </si>
  <si>
    <t>Lookup Key</t>
  </si>
  <si>
    <t>VARIANCE ANALYSIS — EUROPCAR vs COMPETITORS (with XLOOKUP)</t>
  </si>
  <si>
    <t>Green text = cross-sheet XLOOKUP  |  Blue text = hardcoded inputs  |  Black = formulas  |  ✅ Below Market = Europcar cheaper  |  🟡 At Market = within ±10%  |  🔴 Above Market = &gt;10% above avg</t>
  </si>
  <si>
    <t>XLOOKUP formula used: =XLOOKUP(A_row&amp;" | "&amp;B_row, 'Europcar rates'!G:G, 'Europcar rates'!C:F)  — looks up "Location | Class" key in helper column G and returns the matching rate</t>
  </si>
  <si>
    <t>Vehicle Class</t>
  </si>
  <si>
    <t>Season Type</t>
  </si>
  <si>
    <t>Hertz
(€/day)</t>
  </si>
  <si>
    <t>Avis
(€/day)</t>
  </si>
  <si>
    <t>Enterprise
(€/day)</t>
  </si>
  <si>
    <t>Budget
(€/day)</t>
  </si>
  <si>
    <t>Sixt
(€/day)</t>
  </si>
  <si>
    <t>Comp Avg
(€/day)</t>
  </si>
  <si>
    <t>Comp Min
(€/day)</t>
  </si>
  <si>
    <t>Comp Max
(€/day)</t>
  </si>
  <si>
    <t>Europcar
(XLOOKUP €/day)</t>
  </si>
  <si>
    <t>vs Avg
(%)</t>
  </si>
  <si>
    <t>Position</t>
  </si>
  <si>
    <t>Recommendation</t>
  </si>
  <si>
    <t>People Carrier</t>
  </si>
  <si>
    <t>Cork Airport | Economy (Small Car)</t>
  </si>
  <si>
    <t>Cork Airport | Compact (Medium Car)</t>
  </si>
  <si>
    <t>Cork Airport | SUV</t>
  </si>
  <si>
    <t>Cork Airport | People carrier</t>
  </si>
  <si>
    <t>Shannon Airport | Economy (Small Car)</t>
  </si>
  <si>
    <t>Shannon Airport | Compact (Medium Car)</t>
  </si>
  <si>
    <t>Shannon Airport | SUV</t>
  </si>
  <si>
    <t>Shannon Airport | People carrier</t>
  </si>
  <si>
    <t>Galway | Economy (Small Car)</t>
  </si>
  <si>
    <t>Galway | Compact (Medium Car)</t>
  </si>
  <si>
    <t>Galway | SUV</t>
  </si>
  <si>
    <t>Galway | People carrier</t>
  </si>
  <si>
    <t>PIVOT SUMMARY — Average Variance vs Competitor (%) by Location &amp; Vehicle Class</t>
  </si>
  <si>
    <t>Shows average % Europcar is above/below competitor average across all seasons per location &amp; class</t>
  </si>
  <si>
    <t>Location Avg</t>
  </si>
  <si>
    <t>Class Average</t>
  </si>
  <si>
    <t>PRICING DASHBOARD — EUROPCAR IRELAND vs MARKET</t>
  </si>
  <si>
    <t>Data: rentalcars.com | Collected: 29 Apr 2026 | Rates in €/day | Formulas pull from Variance Analysis sheet</t>
  </si>
  <si>
    <t>SECTION 1 — HIGH SEASON AUTO: EUROPCAR vs COMPETITOR AVERAGE BY LOCATION</t>
  </si>
  <si>
    <t>Europcar Avg
(€/day)</t>
  </si>
  <si>
    <t>Competitor Avg
(€/day)</t>
  </si>
  <si>
    <t>Difference
(€)</t>
  </si>
  <si>
    <t>Difference
(%)</t>
  </si>
  <si>
    <t>SECTION 2 — POSITION HEATMAP: HIGH SEASON AUTO BY LOCATION &amp; CLASS</t>
  </si>
  <si>
    <t>SECTION 3 — KEY ANALYST INSIGHTS</t>
  </si>
  <si>
    <t>1. Limited Competition in Galway</t>
  </si>
  <si>
    <t>Only Enterprise and Budget operate in Galway. Reduced competition may support higher pricing in this market with less pressure to match a broad competitor set.</t>
  </si>
  <si>
    <t>2. People Carrier — Inverted Seasonality</t>
  </si>
  <si>
    <t>People Carrier low season rates exceed high season. Driven by corporate demand in June, limited fleet and fewer competitors offering this class outside peak tourist season.</t>
  </si>
  <si>
    <t>3. Enterprise Premium Pricing</t>
  </si>
  <si>
    <t>Enterprise consistently prices significantly above all competitors across all locations — particularly Economy and Compact. Likely reflects a premium brand positioning strategy.</t>
  </si>
  <si>
    <t>4. Cork &amp; Shannon — No People Carrier (Europcar)</t>
  </si>
  <si>
    <t>No People Carrier availability at Cork or Shannon. Europcar could assess whether introducing this class represents a revenue opportunity.</t>
  </si>
  <si>
    <t>5. Methodology Note</t>
  </si>
  <si>
    <t>Both seasons searched 29 Apr 2026. High season ~11 weeks ahead. Low season (June) ~6 weeks ahead. Live analysis would require rate-shopping at equivalent lead times for a fair comparison.</t>
  </si>
  <si>
    <t>Dublin Airport | SUV</t>
  </si>
  <si>
    <t>Dublin Airport | Compact (Medium Car)</t>
  </si>
  <si>
    <t>Dublin Airport | People carrier</t>
  </si>
  <si>
    <t>6. Go Car — Seven Seater Alternative</t>
  </si>
  <si>
    <t>Europcar does not offer a large seven-seater vehicle at these locations. However, sister concern Go Car provides seven-seater vehicles at an hourly rate at a significantly cheaper price point. Customers seeking larger vehicles at lower cost may be directed to Go Car, which could reduce Europcar People Carrier demand and partially explain lower volumes in this segment.</t>
  </si>
  <si>
    <t>7. Enterprise — High Automatic Vehicle Price Variance</t>
  </si>
  <si>
    <t>A significant difference between Automatic vehicle rates in High Season vs Low Season is observed specifically with Enterprise across all locations. This suggests Enterprise may apply aggressive dynamic pricing on Automatic vehicles during peak demand periods, or that their Automatic fleet is considerably more limited, driving prices up sharply in High Season.</t>
  </si>
  <si>
    <t>8. Section 1 &amp; Heatmap — People Carrier Exclusion Note</t>
  </si>
  <si>
    <t>People Carrier (Automatic) has been excluded from the Section 1 Location Summary and Heatmap calculations. This is because Europcar does not provide People Carrier service at Cork, Shannon or Galway, making a cross-location comparison misleading. Including it would distort the average and position calculations. People Carrier analysis is available in full in the Variance Analysis sheet for Dublin only.</t>
  </si>
  <si>
    <t>SECTION 1 — HIGH SEASON MANUAL : EUROPCAR vs COMPETITOR AVERAGE BY LOCATION</t>
  </si>
  <si>
    <t>SECTION 2 — POSITION HEATMAP: HIGH SEASON MANUAL BY LOCATION &amp; CLASS</t>
  </si>
  <si>
    <t>Low season represented by June 2026 — January 2027 rates excluded due to incomplete inventory loading and advance booking distortion. Initially consider as 11-January-2027 to 18- January- 2027</t>
  </si>
  <si>
    <t>Ford Ka, Toyota Aygo X, Volkswagen Polo, Ford Fiesta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</si>
</sst>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
    <numFmt numFmtId="166" formatCode="0.0%"/>
  </numFmts>
  <fonts count="26" x14ac:knownFonts="1">
    <font>
      <sz val="12"/>
      <color theme="1"/>
      <name val="Aptos Narrow"/>
      <family val="2"/>
      <scheme val="minor"/>
    </font>
    <font>
      <sz val="12"/>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b/>
      <sz val="12"/>
      <color theme="1"/>
      <name val="Aptos Narrow"/>
      <scheme val="minor"/>
    </font>
    <font>
      <b/>
      <sz val="13"/>
      <color rgb="FFFFFFFF"/>
      <name val="Arial"/>
      <family val="2"/>
    </font>
    <font>
      <i/>
      <sz val="9"/>
      <color rgb="FF555555"/>
      <name val="Arial"/>
      <family val="2"/>
    </font>
    <font>
      <b/>
      <i/>
      <sz val="9"/>
      <color rgb="FF1F3864"/>
      <name val="Arial"/>
      <family val="2"/>
    </font>
    <font>
      <b/>
      <sz val="10"/>
      <color rgb="FFFFFFFF"/>
      <name val="Arial"/>
      <family val="2"/>
    </font>
    <font>
      <b/>
      <sz val="10"/>
      <color rgb="FF1F3864"/>
      <name val="Arial"/>
      <family val="2"/>
    </font>
    <font>
      <sz val="10"/>
      <color rgb="FF000000"/>
      <name val="Arial"/>
      <family val="2"/>
    </font>
    <font>
      <sz val="10"/>
      <color rgb="FF008000"/>
      <name val="Arial"/>
      <family val="2"/>
    </font>
    <font>
      <sz val="12"/>
      <color rgb="FF000000"/>
      <name val="Aptos Narrow"/>
      <family val="2"/>
      <scheme val="minor"/>
    </font>
    <font>
      <b/>
      <sz val="14"/>
      <color rgb="FFFFFFFF"/>
      <name val="Arial"/>
      <family val="2"/>
    </font>
    <font>
      <b/>
      <sz val="9"/>
      <color rgb="FFFFFFFF"/>
      <name val="Arial"/>
      <family val="2"/>
    </font>
    <font>
      <sz val="9"/>
      <color rgb="FF000000"/>
      <name val="Arial"/>
      <family val="2"/>
    </font>
    <font>
      <i/>
      <sz val="10"/>
      <color rgb="FF555555"/>
      <name val="Arial"/>
      <family val="2"/>
    </font>
    <font>
      <sz val="10"/>
      <color theme="1"/>
      <name val="Aptos Narrow"/>
      <family val="2"/>
      <scheme val="minor"/>
    </font>
    <font>
      <i/>
      <sz val="11"/>
      <color rgb="FF555555"/>
      <name val="Arial"/>
      <family val="2"/>
    </font>
    <font>
      <sz val="11"/>
      <color theme="1"/>
      <name val="Aptos Narrow"/>
      <family val="2"/>
      <scheme val="minor"/>
    </font>
    <font>
      <b/>
      <sz val="18"/>
      <color rgb="FFFFFFFF"/>
      <name val="Arial"/>
      <family val="2"/>
    </font>
    <font>
      <sz val="18"/>
      <color theme="1"/>
      <name val="Aptos Narrow"/>
      <family val="2"/>
      <scheme val="minor"/>
    </font>
    <font>
      <b/>
      <sz val="14"/>
      <color rgb="FF1F3864"/>
      <name val="Arial"/>
      <family val="2"/>
    </font>
    <font>
      <sz val="14"/>
      <color rgb="FF000000"/>
      <name val="Arial"/>
      <family val="2"/>
    </font>
    <font>
      <sz val="9"/>
      <color theme="1"/>
      <name val="Arial"/>
      <family val="2"/>
    </font>
  </fonts>
  <fills count="17">
    <fill>
      <patternFill patternType="none"/>
    </fill>
    <fill>
      <patternFill patternType="gray125"/>
    </fill>
    <fill>
      <patternFill patternType="solid">
        <fgColor theme="4" tint="0.79998168889431442"/>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rgb="FFF2F2F2"/>
      </patternFill>
    </fill>
    <fill>
      <patternFill patternType="solid">
        <fgColor rgb="FF1F3864"/>
      </patternFill>
    </fill>
    <fill>
      <patternFill patternType="solid">
        <fgColor rgb="FFD6E4F0"/>
      </patternFill>
    </fill>
    <fill>
      <patternFill patternType="solid">
        <fgColor rgb="FF2E75B6"/>
      </patternFill>
    </fill>
    <fill>
      <patternFill patternType="solid">
        <fgColor rgb="FFFFFFFF"/>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style="thick">
        <color theme="4"/>
      </top>
      <bottom style="thick">
        <color theme="4" tint="0.499984740745262"/>
      </bottom>
      <diagonal/>
    </border>
    <border>
      <left/>
      <right style="thin">
        <color indexed="64"/>
      </right>
      <top/>
      <bottom/>
      <diagonal/>
    </border>
    <border>
      <left style="thin">
        <color indexed="64"/>
      </left>
      <right style="thin">
        <color indexed="64"/>
      </right>
      <top style="thick">
        <color theme="4"/>
      </top>
      <bottom style="thick">
        <color theme="4" tint="0.499984740745262"/>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ck">
        <color indexed="64"/>
      </right>
      <top/>
      <bottom/>
      <diagonal/>
    </border>
    <border>
      <left style="thick">
        <color indexed="64"/>
      </left>
      <right style="thin">
        <color indexed="64"/>
      </right>
      <top style="thin">
        <color indexed="64"/>
      </top>
      <bottom style="thin">
        <color indexed="64"/>
      </bottom>
      <diagonal/>
    </border>
    <border>
      <left style="thick">
        <color indexed="64"/>
      </left>
      <right/>
      <top/>
      <bottom/>
      <diagonal/>
    </border>
    <border>
      <left style="thick">
        <color indexed="64"/>
      </left>
      <right style="thin">
        <color indexed="64"/>
      </right>
      <top/>
      <bottom style="thin">
        <color indexed="64"/>
      </bottom>
      <diagonal/>
    </border>
    <border>
      <left style="thick">
        <color indexed="64"/>
      </left>
      <right/>
      <top style="thin">
        <color indexed="64"/>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
      <left/>
      <right style="thick">
        <color theme="1"/>
      </right>
      <top style="thick">
        <color theme="4"/>
      </top>
      <bottom style="medium">
        <color theme="4" tint="0.39997558519241921"/>
      </bottom>
      <diagonal/>
    </border>
    <border>
      <left/>
      <right style="thick">
        <color theme="1"/>
      </right>
      <top/>
      <bottom style="medium">
        <color theme="4" tint="0.3999755851924192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style="thick">
        <color theme="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ck">
        <color theme="4" tint="0.499984740745262"/>
      </top>
      <bottom/>
      <diagonal/>
    </border>
  </borders>
  <cellStyleXfs count="15">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cellStyleXfs>
  <cellXfs count="197">
    <xf numFmtId="0" fontId="0" fillId="0" borderId="0" xfId="0"/>
    <xf numFmtId="0" fontId="0" fillId="0" borderId="0" xfId="0" applyAlignment="1">
      <alignment wrapText="1"/>
    </xf>
    <xf numFmtId="0" fontId="0" fillId="0" borderId="0" xfId="0" applyAlignment="1">
      <alignment vertical="center" wrapText="1"/>
    </xf>
    <xf numFmtId="0" fontId="3" fillId="0" borderId="5" xfId="2" applyBorder="1"/>
    <xf numFmtId="0" fontId="3" fillId="0" borderId="7" xfId="2" applyBorder="1"/>
    <xf numFmtId="0" fontId="1" fillId="3" borderId="8" xfId="6" applyBorder="1"/>
    <xf numFmtId="0" fontId="1" fillId="2" borderId="8" xfId="5" applyBorder="1"/>
    <xf numFmtId="164" fontId="1" fillId="3" borderId="8" xfId="6" applyNumberFormat="1" applyBorder="1"/>
    <xf numFmtId="164" fontId="1" fillId="2" borderId="8" xfId="5" applyNumberFormat="1" applyBorder="1"/>
    <xf numFmtId="0" fontId="0" fillId="3" borderId="8" xfId="6" applyFont="1" applyBorder="1"/>
    <xf numFmtId="0" fontId="0" fillId="2" borderId="8" xfId="5" applyFont="1" applyBorder="1"/>
    <xf numFmtId="164" fontId="0" fillId="2" borderId="8" xfId="5" quotePrefix="1" applyNumberFormat="1" applyFont="1" applyBorder="1" applyAlignment="1">
      <alignment horizontal="center"/>
    </xf>
    <xf numFmtId="164" fontId="1" fillId="3" borderId="8" xfId="6" applyNumberFormat="1" applyBorder="1" applyAlignment="1">
      <alignment horizontal="center"/>
    </xf>
    <xf numFmtId="164" fontId="1" fillId="3" borderId="8" xfId="6" applyNumberFormat="1" applyBorder="1" applyAlignment="1">
      <alignment horizontal="right"/>
    </xf>
    <xf numFmtId="164" fontId="1" fillId="2" borderId="8" xfId="5" applyNumberFormat="1" applyBorder="1" applyAlignment="1">
      <alignment horizontal="center"/>
    </xf>
    <xf numFmtId="0" fontId="4" fillId="0" borderId="3" xfId="3"/>
    <xf numFmtId="0" fontId="4" fillId="0" borderId="0" xfId="4"/>
    <xf numFmtId="0" fontId="1" fillId="5" borderId="0" xfId="8" applyBorder="1"/>
    <xf numFmtId="0" fontId="1" fillId="7" borderId="0" xfId="10" applyBorder="1"/>
    <xf numFmtId="0" fontId="1" fillId="9" borderId="0" xfId="12" applyBorder="1"/>
    <xf numFmtId="0" fontId="1" fillId="5" borderId="4" xfId="8" applyBorder="1"/>
    <xf numFmtId="0" fontId="1" fillId="4" borderId="4" xfId="7" applyBorder="1"/>
    <xf numFmtId="0" fontId="1" fillId="11" borderId="0" xfId="14" applyBorder="1"/>
    <xf numFmtId="164" fontId="1" fillId="11" borderId="4" xfId="14" applyNumberFormat="1" applyBorder="1"/>
    <xf numFmtId="164" fontId="1" fillId="10" borderId="4" xfId="13" applyNumberFormat="1" applyBorder="1"/>
    <xf numFmtId="164" fontId="1" fillId="11" borderId="4" xfId="14" applyNumberFormat="1" applyBorder="1" applyAlignment="1">
      <alignment horizontal="center"/>
    </xf>
    <xf numFmtId="164" fontId="1" fillId="10" borderId="4" xfId="13" applyNumberFormat="1" applyBorder="1" applyAlignment="1">
      <alignment horizontal="center"/>
    </xf>
    <xf numFmtId="0" fontId="1" fillId="5" borderId="11" xfId="8" applyBorder="1"/>
    <xf numFmtId="0" fontId="1" fillId="7" borderId="13" xfId="10" applyBorder="1"/>
    <xf numFmtId="0" fontId="1" fillId="7" borderId="11" xfId="10" applyBorder="1"/>
    <xf numFmtId="0" fontId="1" fillId="9" borderId="13" xfId="12" applyBorder="1"/>
    <xf numFmtId="0" fontId="1" fillId="9" borderId="11" xfId="12" applyBorder="1"/>
    <xf numFmtId="164" fontId="1" fillId="11" borderId="10" xfId="14" applyNumberFormat="1" applyBorder="1" applyAlignment="1">
      <alignment horizontal="center"/>
    </xf>
    <xf numFmtId="164" fontId="1" fillId="10" borderId="10" xfId="13" applyNumberFormat="1" applyBorder="1" applyAlignment="1">
      <alignment horizontal="center"/>
    </xf>
    <xf numFmtId="0" fontId="1" fillId="11" borderId="13" xfId="14" applyBorder="1"/>
    <xf numFmtId="0" fontId="1" fillId="11" borderId="11" xfId="14" applyBorder="1"/>
    <xf numFmtId="0" fontId="4" fillId="0" borderId="15" xfId="4" applyBorder="1"/>
    <xf numFmtId="0" fontId="4" fillId="0" borderId="21" xfId="3" applyBorder="1"/>
    <xf numFmtId="0" fontId="4" fillId="0" borderId="22" xfId="3" applyBorder="1"/>
    <xf numFmtId="164" fontId="1" fillId="9" borderId="4" xfId="12" applyNumberFormat="1" applyBorder="1"/>
    <xf numFmtId="164" fontId="1" fillId="9" borderId="10" xfId="12" applyNumberFormat="1" applyBorder="1"/>
    <xf numFmtId="164" fontId="1" fillId="8" borderId="4" xfId="11" applyNumberFormat="1" applyBorder="1"/>
    <xf numFmtId="164" fontId="1" fillId="8" borderId="10" xfId="11" applyNumberFormat="1" applyBorder="1"/>
    <xf numFmtId="164" fontId="1" fillId="9" borderId="10" xfId="12" applyNumberFormat="1" applyBorder="1" applyAlignment="1">
      <alignment horizontal="center"/>
    </xf>
    <xf numFmtId="164" fontId="1" fillId="8" borderId="10" xfId="11" quotePrefix="1" applyNumberFormat="1" applyBorder="1" applyAlignment="1">
      <alignment horizontal="center"/>
    </xf>
    <xf numFmtId="164" fontId="1" fillId="9" borderId="9" xfId="12" applyNumberFormat="1" applyBorder="1"/>
    <xf numFmtId="164" fontId="1" fillId="9" borderId="23" xfId="12" applyNumberFormat="1" applyBorder="1" applyAlignment="1">
      <alignment horizontal="center"/>
    </xf>
    <xf numFmtId="164" fontId="1" fillId="8" borderId="24" xfId="11" applyNumberFormat="1" applyBorder="1"/>
    <xf numFmtId="164" fontId="1" fillId="9" borderId="4" xfId="12" applyNumberFormat="1" applyBorder="1" applyAlignment="1">
      <alignment horizontal="center"/>
    </xf>
    <xf numFmtId="164" fontId="1" fillId="7" borderId="4" xfId="10" applyNumberFormat="1" applyBorder="1"/>
    <xf numFmtId="164" fontId="1" fillId="7" borderId="10" xfId="10" applyNumberFormat="1" applyBorder="1"/>
    <xf numFmtId="164" fontId="1" fillId="6" borderId="4" xfId="9" applyNumberFormat="1" applyBorder="1"/>
    <xf numFmtId="164" fontId="1" fillId="6" borderId="10" xfId="9" applyNumberFormat="1" applyBorder="1"/>
    <xf numFmtId="164" fontId="1" fillId="7" borderId="4" xfId="10" applyNumberFormat="1" applyBorder="1" applyAlignment="1">
      <alignment horizontal="center"/>
    </xf>
    <xf numFmtId="164" fontId="1" fillId="6" borderId="10" xfId="9" applyNumberFormat="1" applyBorder="1" applyAlignment="1">
      <alignment horizontal="center"/>
    </xf>
    <xf numFmtId="164" fontId="1" fillId="7" borderId="4" xfId="10" applyNumberFormat="1" applyBorder="1" applyAlignment="1">
      <alignment horizontal="right"/>
    </xf>
    <xf numFmtId="164" fontId="1" fillId="5" borderId="4" xfId="8" applyNumberFormat="1" applyBorder="1"/>
    <xf numFmtId="164" fontId="1" fillId="5" borderId="10" xfId="8" applyNumberFormat="1" applyBorder="1"/>
    <xf numFmtId="164" fontId="1" fillId="4" borderId="4" xfId="7" applyNumberFormat="1" applyBorder="1"/>
    <xf numFmtId="164" fontId="1" fillId="4" borderId="10" xfId="7" applyNumberFormat="1" applyBorder="1"/>
    <xf numFmtId="164" fontId="1" fillId="4" borderId="10" xfId="7" applyNumberFormat="1" applyBorder="1" applyAlignment="1">
      <alignment horizontal="center"/>
    </xf>
    <xf numFmtId="164" fontId="1" fillId="5" borderId="4" xfId="8" applyNumberFormat="1" applyBorder="1" applyAlignment="1">
      <alignment horizontal="center"/>
    </xf>
    <xf numFmtId="164" fontId="1" fillId="7" borderId="12" xfId="10" applyNumberFormat="1" applyBorder="1"/>
    <xf numFmtId="164" fontId="1" fillId="9" borderId="12" xfId="12" applyNumberFormat="1" applyBorder="1"/>
    <xf numFmtId="164" fontId="1" fillId="11" borderId="12" xfId="14" applyNumberFormat="1" applyBorder="1"/>
    <xf numFmtId="164" fontId="1" fillId="6" borderId="12" xfId="9" applyNumberFormat="1" applyBorder="1"/>
    <xf numFmtId="164" fontId="1" fillId="8" borderId="12" xfId="11" applyNumberFormat="1" applyBorder="1"/>
    <xf numFmtId="164" fontId="1" fillId="10" borderId="12" xfId="13" applyNumberFormat="1" applyBorder="1"/>
    <xf numFmtId="164" fontId="1" fillId="5" borderId="0" xfId="8" applyNumberFormat="1" applyBorder="1"/>
    <xf numFmtId="164" fontId="1" fillId="5" borderId="11" xfId="8" applyNumberFormat="1" applyBorder="1"/>
    <xf numFmtId="164" fontId="1" fillId="7" borderId="13" xfId="10" applyNumberFormat="1" applyBorder="1"/>
    <xf numFmtId="164" fontId="1" fillId="7" borderId="0" xfId="10" applyNumberFormat="1" applyBorder="1"/>
    <xf numFmtId="164" fontId="1" fillId="7" borderId="11" xfId="10" applyNumberFormat="1" applyBorder="1"/>
    <xf numFmtId="164" fontId="1" fillId="9" borderId="13" xfId="12" applyNumberFormat="1" applyBorder="1"/>
    <xf numFmtId="164" fontId="1" fillId="9" borderId="0" xfId="12" applyNumberFormat="1" applyBorder="1"/>
    <xf numFmtId="164" fontId="1" fillId="9" borderId="11" xfId="12" applyNumberFormat="1" applyBorder="1"/>
    <xf numFmtId="164" fontId="1" fillId="11" borderId="13" xfId="14" applyNumberFormat="1" applyBorder="1"/>
    <xf numFmtId="164" fontId="1" fillId="11" borderId="0" xfId="14" applyNumberFormat="1" applyBorder="1"/>
    <xf numFmtId="164" fontId="1" fillId="11" borderId="11" xfId="14" applyNumberFormat="1" applyBorder="1"/>
    <xf numFmtId="164" fontId="4" fillId="0" borderId="15" xfId="4" applyNumberFormat="1" applyBorder="1"/>
    <xf numFmtId="164" fontId="1" fillId="7" borderId="14" xfId="10" applyNumberFormat="1" applyBorder="1"/>
    <xf numFmtId="0" fontId="0" fillId="3" borderId="8" xfId="6" applyFont="1" applyBorder="1" applyAlignment="1">
      <alignment horizontal="left"/>
    </xf>
    <xf numFmtId="0" fontId="1" fillId="2" borderId="6" xfId="5" applyBorder="1" applyAlignment="1">
      <alignment horizontal="left" vertical="center"/>
    </xf>
    <xf numFmtId="0" fontId="1" fillId="3" borderId="6" xfId="6" applyBorder="1" applyAlignment="1">
      <alignment horizontal="left"/>
    </xf>
    <xf numFmtId="0" fontId="0" fillId="2" borderId="8" xfId="5" applyFont="1" applyBorder="1" applyAlignment="1">
      <alignment horizontal="left"/>
    </xf>
    <xf numFmtId="0" fontId="1" fillId="3" borderId="8" xfId="6" applyBorder="1" applyAlignment="1">
      <alignment horizontal="left"/>
    </xf>
    <xf numFmtId="0" fontId="1" fillId="3" borderId="6" xfId="6" applyBorder="1" applyAlignment="1">
      <alignment horizontal="left" vertical="center"/>
    </xf>
    <xf numFmtId="0" fontId="1" fillId="2" borderId="6" xfId="5" applyBorder="1" applyAlignment="1">
      <alignment horizontal="left"/>
    </xf>
    <xf numFmtId="0" fontId="0" fillId="2" borderId="6" xfId="5" applyFont="1" applyBorder="1" applyAlignment="1">
      <alignment horizontal="left" vertical="center"/>
    </xf>
    <xf numFmtId="0" fontId="9" fillId="15" borderId="4" xfId="0" applyFont="1" applyFill="1" applyBorder="1" applyAlignment="1">
      <alignment horizontal="center" vertical="center" wrapText="1"/>
    </xf>
    <xf numFmtId="0" fontId="10" fillId="14" borderId="4" xfId="0" applyFont="1" applyFill="1" applyBorder="1" applyAlignment="1">
      <alignment horizontal="center" vertical="center" wrapText="1"/>
    </xf>
    <xf numFmtId="0" fontId="11" fillId="14" borderId="4" xfId="0" applyFont="1" applyFill="1" applyBorder="1" applyAlignment="1">
      <alignment horizontal="center" vertical="center" wrapText="1"/>
    </xf>
    <xf numFmtId="0" fontId="11" fillId="12" borderId="4" xfId="0" applyFont="1" applyFill="1" applyBorder="1" applyAlignment="1">
      <alignment horizontal="center" vertical="center" wrapText="1"/>
    </xf>
    <xf numFmtId="165" fontId="12" fillId="16" borderId="4" xfId="0" applyNumberFormat="1" applyFont="1" applyFill="1" applyBorder="1" applyAlignment="1">
      <alignment horizontal="center" vertical="center" wrapText="1"/>
    </xf>
    <xf numFmtId="165" fontId="11" fillId="16" borderId="4" xfId="0" applyNumberFormat="1" applyFont="1" applyFill="1" applyBorder="1" applyAlignment="1">
      <alignment horizontal="center" vertical="center" wrapText="1"/>
    </xf>
    <xf numFmtId="166" fontId="11" fillId="16" borderId="4" xfId="0" applyNumberFormat="1" applyFont="1" applyFill="1" applyBorder="1" applyAlignment="1">
      <alignment horizontal="center" vertical="center" wrapText="1"/>
    </xf>
    <xf numFmtId="0" fontId="11" fillId="16" borderId="4" xfId="0" applyFont="1" applyFill="1" applyBorder="1" applyAlignment="1">
      <alignment horizontal="center" vertical="center" wrapText="1"/>
    </xf>
    <xf numFmtId="0" fontId="11" fillId="16" borderId="4" xfId="0" applyFont="1" applyFill="1" applyBorder="1" applyAlignment="1">
      <alignment horizontal="left" vertical="center" wrapText="1"/>
    </xf>
    <xf numFmtId="0" fontId="9" fillId="15" borderId="8" xfId="0" applyFont="1" applyFill="1" applyBorder="1" applyAlignment="1">
      <alignment horizontal="center" vertical="center" wrapText="1"/>
    </xf>
    <xf numFmtId="0" fontId="13" fillId="0" borderId="0" xfId="0" applyFont="1"/>
    <xf numFmtId="166" fontId="11" fillId="16" borderId="4" xfId="0" quotePrefix="1" applyNumberFormat="1" applyFont="1" applyFill="1" applyBorder="1" applyAlignment="1">
      <alignment horizontal="center" vertical="center" wrapText="1"/>
    </xf>
    <xf numFmtId="0" fontId="0" fillId="0" borderId="0" xfId="0" quotePrefix="1"/>
    <xf numFmtId="0" fontId="12" fillId="16" borderId="4" xfId="0" applyFont="1" applyFill="1" applyBorder="1" applyAlignment="1">
      <alignment horizontal="center" vertical="center" wrapText="1"/>
    </xf>
    <xf numFmtId="0" fontId="14" fillId="15" borderId="4" xfId="0" applyFont="1" applyFill="1" applyBorder="1" applyAlignment="1">
      <alignment horizontal="center" vertical="center" wrapText="1"/>
    </xf>
    <xf numFmtId="0" fontId="23" fillId="14" borderId="4" xfId="0" applyFont="1" applyFill="1" applyBorder="1" applyAlignment="1">
      <alignment horizontal="center" vertical="center" wrapText="1"/>
    </xf>
    <xf numFmtId="166" fontId="24" fillId="16" borderId="4" xfId="0" applyNumberFormat="1" applyFont="1" applyFill="1" applyBorder="1" applyAlignment="1">
      <alignment horizontal="center" vertical="center" wrapText="1"/>
    </xf>
    <xf numFmtId="166" fontId="24" fillId="14" borderId="4" xfId="0" applyNumberFormat="1" applyFont="1" applyFill="1" applyBorder="1" applyAlignment="1">
      <alignment horizontal="center" vertical="center" wrapText="1"/>
    </xf>
    <xf numFmtId="0" fontId="24" fillId="14" borderId="4" xfId="0" applyFont="1" applyFill="1" applyBorder="1" applyAlignment="1">
      <alignment horizontal="center" vertical="center" wrapText="1"/>
    </xf>
    <xf numFmtId="0" fontId="25" fillId="0" borderId="0" xfId="0" applyFont="1"/>
    <xf numFmtId="0" fontId="3" fillId="0" borderId="26" xfId="2" applyBorder="1"/>
    <xf numFmtId="0" fontId="10" fillId="14" borderId="0" xfId="0" applyFont="1" applyFill="1" applyAlignment="1">
      <alignment horizontal="center" vertical="center" wrapText="1"/>
    </xf>
    <xf numFmtId="0" fontId="12" fillId="16" borderId="0" xfId="0" applyFont="1" applyFill="1" applyAlignment="1">
      <alignment horizontal="center" vertical="center" wrapText="1"/>
    </xf>
    <xf numFmtId="0" fontId="0" fillId="0" borderId="6" xfId="0" applyBorder="1"/>
    <xf numFmtId="0" fontId="0" fillId="0" borderId="25" xfId="0" applyBorder="1"/>
    <xf numFmtId="0" fontId="0" fillId="0" borderId="29" xfId="0" applyBorder="1"/>
    <xf numFmtId="0" fontId="0" fillId="0" borderId="24" xfId="0" applyBorder="1"/>
    <xf numFmtId="0" fontId="0" fillId="0" borderId="8" xfId="0" applyBorder="1"/>
    <xf numFmtId="0" fontId="0" fillId="0" borderId="32" xfId="0" applyBorder="1"/>
    <xf numFmtId="0" fontId="0" fillId="0" borderId="27" xfId="0" applyBorder="1" applyAlignment="1">
      <alignment horizontal="center"/>
    </xf>
    <xf numFmtId="0" fontId="0" fillId="0" borderId="27" xfId="0" applyBorder="1" applyAlignment="1">
      <alignment horizontal="center" vertical="center"/>
    </xf>
    <xf numFmtId="0" fontId="0" fillId="0" borderId="0" xfId="0" applyAlignment="1">
      <alignment horizontal="left" vertical="top" wrapText="1"/>
    </xf>
    <xf numFmtId="0" fontId="0" fillId="0" borderId="6" xfId="0" applyBorder="1" applyAlignment="1">
      <alignment vertical="top" wrapText="1"/>
    </xf>
    <xf numFmtId="0" fontId="0" fillId="0" borderId="28" xfId="0" applyBorder="1" applyAlignment="1">
      <alignment horizontal="center" vertical="center"/>
    </xf>
    <xf numFmtId="0" fontId="0" fillId="0" borderId="27" xfId="0" applyBorder="1" applyAlignment="1">
      <alignment vertical="center" wrapText="1"/>
    </xf>
    <xf numFmtId="0" fontId="0" fillId="0" borderId="6" xfId="0" applyBorder="1" applyAlignment="1">
      <alignment wrapText="1"/>
    </xf>
    <xf numFmtId="0" fontId="0" fillId="0" borderId="28" xfId="0" applyBorder="1" applyAlignment="1">
      <alignment vertical="center" wrapText="1"/>
    </xf>
    <xf numFmtId="0" fontId="0" fillId="0" borderId="29" xfId="0" applyBorder="1" applyAlignment="1">
      <alignment vertical="center" wrapText="1"/>
    </xf>
    <xf numFmtId="0" fontId="5" fillId="0" borderId="30" xfId="0" applyFont="1" applyBorder="1"/>
    <xf numFmtId="0" fontId="0" fillId="0" borderId="9" xfId="0" applyBorder="1"/>
    <xf numFmtId="0" fontId="0" fillId="0" borderId="24" xfId="0" applyBorder="1" applyAlignment="1">
      <alignment vertical="center" wrapText="1"/>
    </xf>
    <xf numFmtId="0" fontId="0" fillId="0" borderId="32" xfId="0" applyBorder="1" applyAlignment="1">
      <alignment vertical="center" wrapText="1"/>
    </xf>
    <xf numFmtId="0" fontId="0" fillId="0" borderId="6" xfId="0" applyBorder="1" applyAlignment="1">
      <alignment horizontal="left" vertical="top" wrapText="1"/>
    </xf>
    <xf numFmtId="0" fontId="0" fillId="0" borderId="24" xfId="0" applyBorder="1" applyAlignment="1">
      <alignment horizontal="center"/>
    </xf>
    <xf numFmtId="0" fontId="0" fillId="0" borderId="8" xfId="0" applyBorder="1" applyAlignment="1">
      <alignment horizontal="center"/>
    </xf>
    <xf numFmtId="0" fontId="0" fillId="0" borderId="32" xfId="0" applyBorder="1" applyAlignment="1">
      <alignment horizontal="center"/>
    </xf>
    <xf numFmtId="0" fontId="14" fillId="13" borderId="0" xfId="0" applyFont="1" applyFill="1" applyAlignment="1">
      <alignment horizontal="center" vertical="center" wrapText="1"/>
    </xf>
    <xf numFmtId="0" fontId="0" fillId="0" borderId="0" xfId="0"/>
    <xf numFmtId="0" fontId="17" fillId="12" borderId="0" xfId="0" applyFont="1" applyFill="1" applyAlignment="1">
      <alignment horizontal="center" vertical="center" wrapText="1"/>
    </xf>
    <xf numFmtId="0" fontId="18" fillId="0" borderId="0" xfId="0" applyFont="1"/>
    <xf numFmtId="0" fontId="9" fillId="15" borderId="0" xfId="0" applyFont="1" applyFill="1" applyAlignment="1">
      <alignment horizontal="center" vertical="center" wrapText="1"/>
    </xf>
    <xf numFmtId="0" fontId="9" fillId="15" borderId="4" xfId="0" applyFont="1" applyFill="1" applyBorder="1" applyAlignment="1">
      <alignment horizontal="center" vertical="center" wrapText="1"/>
    </xf>
    <xf numFmtId="0" fontId="0" fillId="0" borderId="4" xfId="0" applyBorder="1"/>
    <xf numFmtId="0" fontId="15" fillId="15" borderId="4" xfId="0" applyFont="1" applyFill="1" applyBorder="1" applyAlignment="1">
      <alignment horizontal="left" vertical="center" wrapText="1"/>
    </xf>
    <xf numFmtId="0" fontId="16" fillId="12" borderId="4" xfId="0" applyFont="1" applyFill="1" applyBorder="1" applyAlignment="1">
      <alignment horizontal="left" vertical="center" wrapText="1"/>
    </xf>
    <xf numFmtId="0" fontId="9" fillId="15" borderId="25" xfId="0" applyFont="1" applyFill="1" applyBorder="1" applyAlignment="1">
      <alignment horizontal="center" vertical="center" wrapText="1"/>
    </xf>
    <xf numFmtId="0" fontId="0" fillId="0" borderId="0" xfId="0" applyAlignment="1">
      <alignment horizontal="left" vertical="top" wrapText="1"/>
    </xf>
    <xf numFmtId="0" fontId="0" fillId="0" borderId="27" xfId="0" applyBorder="1" applyAlignment="1">
      <alignment horizontal="center" vertical="center"/>
    </xf>
    <xf numFmtId="0" fontId="2" fillId="0" borderId="0" xfId="1" applyBorder="1" applyAlignment="1">
      <alignment horizontal="center" vertical="center"/>
    </xf>
    <xf numFmtId="0" fontId="0" fillId="0" borderId="0" xfId="0" applyAlignment="1">
      <alignment horizontal="left" wrapText="1"/>
    </xf>
    <xf numFmtId="0" fontId="0" fillId="0" borderId="6" xfId="0" applyBorder="1" applyAlignment="1">
      <alignment horizontal="left" wrapText="1"/>
    </xf>
    <xf numFmtId="0" fontId="0" fillId="0" borderId="6" xfId="0" applyBorder="1"/>
    <xf numFmtId="0" fontId="0" fillId="0" borderId="25" xfId="0" applyBorder="1"/>
    <xf numFmtId="0" fontId="0" fillId="0" borderId="29" xfId="0" applyBorder="1"/>
    <xf numFmtId="0" fontId="5" fillId="0" borderId="30" xfId="0" applyFont="1" applyBorder="1" applyAlignment="1">
      <alignment horizontal="center"/>
    </xf>
    <xf numFmtId="0" fontId="5" fillId="0" borderId="31" xfId="0" applyFont="1" applyBorder="1" applyAlignment="1">
      <alignment horizontal="center"/>
    </xf>
    <xf numFmtId="0" fontId="5" fillId="0" borderId="9" xfId="0" applyFont="1" applyBorder="1" applyAlignment="1">
      <alignment horizontal="center"/>
    </xf>
    <xf numFmtId="0" fontId="0" fillId="0" borderId="6" xfId="0" applyBorder="1" applyAlignment="1">
      <alignment horizontal="left" vertical="top" wrapText="1"/>
    </xf>
    <xf numFmtId="0" fontId="0" fillId="0" borderId="25" xfId="0" applyBorder="1" applyAlignment="1">
      <alignment vertical="top" wrapText="1"/>
    </xf>
    <xf numFmtId="0" fontId="0" fillId="0" borderId="29" xfId="0" applyBorder="1" applyAlignment="1">
      <alignment vertical="top" wrapText="1"/>
    </xf>
    <xf numFmtId="0" fontId="0" fillId="0" borderId="8" xfId="0" applyBorder="1" applyAlignment="1">
      <alignment horizontal="center"/>
    </xf>
    <xf numFmtId="0" fontId="0" fillId="0" borderId="0" xfId="0" applyAlignment="1">
      <alignment vertical="top" wrapText="1"/>
    </xf>
    <xf numFmtId="0" fontId="0" fillId="0" borderId="6" xfId="0" applyBorder="1" applyAlignment="1">
      <alignment vertical="top" wrapText="1"/>
    </xf>
    <xf numFmtId="0" fontId="2" fillId="0" borderId="1" xfId="1" applyAlignment="1">
      <alignment horizontal="center" vertical="center"/>
    </xf>
    <xf numFmtId="164" fontId="4" fillId="0" borderId="16" xfId="4" applyNumberFormat="1" applyBorder="1" applyAlignment="1">
      <alignment horizontal="center"/>
    </xf>
    <xf numFmtId="164" fontId="4" fillId="0" borderId="17" xfId="4" applyNumberFormat="1" applyBorder="1" applyAlignment="1">
      <alignment horizontal="center"/>
    </xf>
    <xf numFmtId="0" fontId="5" fillId="6" borderId="18" xfId="9" applyFont="1" applyBorder="1" applyAlignment="1">
      <alignment horizontal="center"/>
    </xf>
    <xf numFmtId="0" fontId="5" fillId="6" borderId="19" xfId="9" applyFont="1" applyBorder="1" applyAlignment="1">
      <alignment horizontal="center"/>
    </xf>
    <xf numFmtId="0" fontId="5" fillId="6" borderId="20" xfId="9" applyFont="1" applyBorder="1" applyAlignment="1">
      <alignment horizontal="center"/>
    </xf>
    <xf numFmtId="0" fontId="4" fillId="0" borderId="16" xfId="4" applyBorder="1" applyAlignment="1">
      <alignment horizontal="center"/>
    </xf>
    <xf numFmtId="0" fontId="4" fillId="0" borderId="17" xfId="4" applyBorder="1" applyAlignment="1">
      <alignment horizontal="center"/>
    </xf>
    <xf numFmtId="0" fontId="5" fillId="4" borderId="18" xfId="7" applyFont="1" applyBorder="1" applyAlignment="1">
      <alignment horizontal="center"/>
    </xf>
    <xf numFmtId="0" fontId="5" fillId="4" borderId="19" xfId="7" applyFont="1" applyBorder="1" applyAlignment="1">
      <alignment horizontal="center"/>
    </xf>
    <xf numFmtId="0" fontId="5" fillId="4" borderId="20" xfId="7" applyFont="1" applyBorder="1" applyAlignment="1">
      <alignment horizontal="center"/>
    </xf>
    <xf numFmtId="0" fontId="1" fillId="10" borderId="18" xfId="13" applyBorder="1" applyAlignment="1">
      <alignment horizontal="center"/>
    </xf>
    <xf numFmtId="0" fontId="1" fillId="10" borderId="19" xfId="13" applyBorder="1" applyAlignment="1">
      <alignment horizontal="center"/>
    </xf>
    <xf numFmtId="0" fontId="1" fillId="10" borderId="20" xfId="13" applyBorder="1" applyAlignment="1">
      <alignment horizontal="center"/>
    </xf>
    <xf numFmtId="0" fontId="5" fillId="8" borderId="18" xfId="11" applyFont="1" applyBorder="1" applyAlignment="1">
      <alignment horizontal="center"/>
    </xf>
    <xf numFmtId="0" fontId="5" fillId="8" borderId="19" xfId="11" applyFont="1" applyBorder="1" applyAlignment="1">
      <alignment horizontal="center"/>
    </xf>
    <xf numFmtId="0" fontId="5" fillId="8" borderId="20" xfId="11" applyFont="1" applyBorder="1" applyAlignment="1">
      <alignment horizontal="center"/>
    </xf>
    <xf numFmtId="0" fontId="6" fillId="13" borderId="0" xfId="0" applyFont="1" applyFill="1" applyAlignment="1">
      <alignment horizontal="center" vertical="center" wrapText="1"/>
    </xf>
    <xf numFmtId="0" fontId="7" fillId="12" borderId="0" xfId="0" applyFont="1" applyFill="1" applyAlignment="1">
      <alignment horizontal="center" vertical="center" wrapText="1"/>
    </xf>
    <xf numFmtId="0" fontId="8" fillId="14" borderId="0" xfId="0" applyFont="1" applyFill="1" applyAlignment="1">
      <alignment horizontal="center" vertical="center" wrapText="1"/>
    </xf>
    <xf numFmtId="0" fontId="21" fillId="13" borderId="0" xfId="0" applyFont="1" applyFill="1" applyAlignment="1">
      <alignment horizontal="center" vertical="center" wrapText="1"/>
    </xf>
    <xf numFmtId="0" fontId="22" fillId="0" borderId="0" xfId="0" applyFont="1"/>
    <xf numFmtId="0" fontId="19" fillId="12" borderId="0" xfId="0" applyFont="1" applyFill="1" applyAlignment="1">
      <alignment horizontal="center" vertical="center" wrapText="1"/>
    </xf>
    <xf numFmtId="0" fontId="20" fillId="0" borderId="0" xfId="0" applyFont="1"/>
    <xf numFmtId="164" fontId="1" fillId="3" borderId="8" xfId="6" applyNumberFormat="1" applyBorder="1" applyAlignment="1">
      <alignment horizontal="left" indent="12"/>
    </xf>
    <xf numFmtId="164" fontId="1" fillId="3" borderId="27" xfId="6" applyNumberFormat="1" applyBorder="1"/>
    <xf numFmtId="164" fontId="1" fillId="2" borderId="27" xfId="5" applyNumberFormat="1" applyBorder="1"/>
    <xf numFmtId="164" fontId="0" fillId="2" borderId="27" xfId="5" quotePrefix="1" applyNumberFormat="1" applyFont="1" applyBorder="1" applyAlignment="1">
      <alignment horizontal="center"/>
    </xf>
    <xf numFmtId="164" fontId="1" fillId="3" borderId="27" xfId="6" applyNumberFormat="1" applyBorder="1" applyAlignment="1">
      <alignment horizontal="center"/>
    </xf>
    <xf numFmtId="164" fontId="1" fillId="3" borderId="27" xfId="6" applyNumberFormat="1" applyBorder="1" applyAlignment="1">
      <alignment horizontal="right"/>
    </xf>
    <xf numFmtId="164" fontId="1" fillId="2" borderId="27" xfId="5" applyNumberFormat="1" applyBorder="1" applyAlignment="1">
      <alignment horizontal="center"/>
    </xf>
    <xf numFmtId="164" fontId="1" fillId="3" borderId="33" xfId="6" applyNumberFormat="1" applyBorder="1" applyAlignment="1">
      <alignment horizontal="left"/>
    </xf>
    <xf numFmtId="164" fontId="1" fillId="2" borderId="6" xfId="5" applyNumberFormat="1" applyBorder="1"/>
    <xf numFmtId="164" fontId="1" fillId="3" borderId="6" xfId="6" applyNumberFormat="1" applyBorder="1" applyAlignment="1">
      <alignment horizontal="left"/>
    </xf>
    <xf numFmtId="164" fontId="1" fillId="2" borderId="6" xfId="5" applyNumberFormat="1" applyBorder="1" applyAlignment="1">
      <alignment horizontal="left"/>
    </xf>
  </cellXfs>
  <cellStyles count="15">
    <cellStyle name="20% - Accent1" xfId="5" builtinId="30"/>
    <cellStyle name="20% - Accent2" xfId="7" builtinId="34"/>
    <cellStyle name="20% - Accent4" xfId="9" builtinId="42"/>
    <cellStyle name="20% - Accent5" xfId="11" builtinId="46"/>
    <cellStyle name="20% - Accent6" xfId="13" builtinId="50"/>
    <cellStyle name="60% - Accent1" xfId="6" builtinId="32"/>
    <cellStyle name="60% - Accent2" xfId="8" builtinId="36"/>
    <cellStyle name="60% - Accent4" xfId="10" builtinId="44"/>
    <cellStyle name="60% - Accent5" xfId="12" builtinId="48"/>
    <cellStyle name="60% - Accent6" xfId="14" builtinId="52"/>
    <cellStyle name="Heading 1" xfId="1" builtinId="16"/>
    <cellStyle name="Heading 2" xfId="2" builtinId="17"/>
    <cellStyle name="Heading 3" xfId="3" builtinId="18"/>
    <cellStyle name="Heading 4" xfId="4"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sz="1400" b="1" i="0" u="none" strike="noStrike" kern="1200" baseline="0">
                <a:solidFill>
                  <a:sysClr val="windowText" lastClr="000000"/>
                </a:solidFill>
              </a:rPr>
              <a:t>Europcar vs Competitor Average — High Season Manual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Dashboard!$B$20</c:f>
              <c:strCache>
                <c:ptCount val="1"/>
                <c:pt idx="0">
                  <c:v>Europcar Avg
(€/day)</c:v>
                </c:pt>
              </c:strCache>
            </c:strRef>
          </c:tx>
          <c:spPr>
            <a:solidFill>
              <a:schemeClr val="accent1"/>
            </a:solidFill>
            <a:ln>
              <a:noFill/>
            </a:ln>
            <a:effectLst/>
          </c:spPr>
          <c:invertIfNegative val="0"/>
          <c:cat>
            <c:strRef>
              <c:f>Dashboard!$A$28:$A$31</c:f>
              <c:strCache>
                <c:ptCount val="4"/>
                <c:pt idx="0">
                  <c:v>Dublin Airport</c:v>
                </c:pt>
                <c:pt idx="1">
                  <c:v>Cork Airport</c:v>
                </c:pt>
                <c:pt idx="2">
                  <c:v>Shannon Airport</c:v>
                </c:pt>
                <c:pt idx="3">
                  <c:v>Galway</c:v>
                </c:pt>
              </c:strCache>
            </c:strRef>
          </c:cat>
          <c:val>
            <c:numRef>
              <c:f>Dashboard!$B$21:$B$24</c:f>
              <c:numCache>
                <c:formatCode>\€#,##0.00</c:formatCode>
                <c:ptCount val="4"/>
                <c:pt idx="0">
                  <c:v>28.238095238095241</c:v>
                </c:pt>
                <c:pt idx="1">
                  <c:v>28.238095238095241</c:v>
                </c:pt>
                <c:pt idx="2">
                  <c:v>28.238095238095241</c:v>
                </c:pt>
                <c:pt idx="3">
                  <c:v>30.190476190476193</c:v>
                </c:pt>
              </c:numCache>
            </c:numRef>
          </c:val>
          <c:extLst>
            <c:ext xmlns:c16="http://schemas.microsoft.com/office/drawing/2014/chart" uri="{C3380CC4-5D6E-409C-BE32-E72D297353CC}">
              <c16:uniqueId val="{00000000-0742-0A40-A450-2214C6379DE5}"/>
            </c:ext>
          </c:extLst>
        </c:ser>
        <c:ser>
          <c:idx val="1"/>
          <c:order val="1"/>
          <c:tx>
            <c:strRef>
              <c:f>Dashboard!$C$20</c:f>
              <c:strCache>
                <c:ptCount val="1"/>
                <c:pt idx="0">
                  <c:v>Competitor Avg
(€/day)</c:v>
                </c:pt>
              </c:strCache>
            </c:strRef>
          </c:tx>
          <c:spPr>
            <a:solidFill>
              <a:schemeClr val="accent2"/>
            </a:solidFill>
            <a:ln>
              <a:noFill/>
            </a:ln>
            <a:effectLst/>
          </c:spPr>
          <c:invertIfNegative val="0"/>
          <c:cat>
            <c:strRef>
              <c:f>Dashboard!$A$28:$A$31</c:f>
              <c:strCache>
                <c:ptCount val="4"/>
                <c:pt idx="0">
                  <c:v>Dublin Airport</c:v>
                </c:pt>
                <c:pt idx="1">
                  <c:v>Cork Airport</c:v>
                </c:pt>
                <c:pt idx="2">
                  <c:v>Shannon Airport</c:v>
                </c:pt>
                <c:pt idx="3">
                  <c:v>Galway</c:v>
                </c:pt>
              </c:strCache>
            </c:strRef>
          </c:cat>
          <c:val>
            <c:numRef>
              <c:f>Dashboard!$C$21:$C$24</c:f>
              <c:numCache>
                <c:formatCode>\€#,##0.00</c:formatCode>
                <c:ptCount val="4"/>
                <c:pt idx="0">
                  <c:v>35.885714285714286</c:v>
                </c:pt>
                <c:pt idx="1">
                  <c:v>36.980952380952381</c:v>
                </c:pt>
                <c:pt idx="2">
                  <c:v>32.990476190476187</c:v>
                </c:pt>
                <c:pt idx="3">
                  <c:v>61.166666666666664</c:v>
                </c:pt>
              </c:numCache>
            </c:numRef>
          </c:val>
          <c:extLst>
            <c:ext xmlns:c16="http://schemas.microsoft.com/office/drawing/2014/chart" uri="{C3380CC4-5D6E-409C-BE32-E72D297353CC}">
              <c16:uniqueId val="{00000001-0742-0A40-A450-2214C6379DE5}"/>
            </c:ext>
          </c:extLst>
        </c:ser>
        <c:dLbls>
          <c:showLegendKey val="0"/>
          <c:showVal val="0"/>
          <c:showCatName val="0"/>
          <c:showSerName val="0"/>
          <c:showPercent val="0"/>
          <c:showBubbleSize val="0"/>
        </c:dLbls>
        <c:gapWidth val="219"/>
        <c:overlap val="-27"/>
        <c:axId val="2117610432"/>
        <c:axId val="2117607296"/>
      </c:barChart>
      <c:catAx>
        <c:axId val="211761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07296"/>
        <c:crosses val="autoZero"/>
        <c:auto val="1"/>
        <c:lblAlgn val="ctr"/>
        <c:lblOffset val="100"/>
        <c:noMultiLvlLbl val="0"/>
      </c:catAx>
      <c:valAx>
        <c:axId val="2117607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10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E" sz="1400" b="1" i="0" u="none" strike="noStrike" kern="1200" baseline="0">
                <a:solidFill>
                  <a:sysClr val="windowText" lastClr="000000"/>
                </a:solidFill>
              </a:rPr>
              <a:t>Europcar vs Competitor Average — High Season Auto (€/day)</a:t>
            </a:r>
          </a:p>
        </c:rich>
      </c:tx>
      <c:overlay val="0"/>
      <c:spPr>
        <a:noFill/>
        <a:ln>
          <a:noFill/>
        </a:ln>
        <a:effectLst/>
      </c:spPr>
    </c:title>
    <c:autoTitleDeleted val="0"/>
    <c:plotArea>
      <c:layout/>
      <c:barChart>
        <c:barDir val="col"/>
        <c:grouping val="clustered"/>
        <c:varyColors val="0"/>
        <c:ser>
          <c:idx val="2"/>
          <c:order val="0"/>
          <c:tx>
            <c:strRef>
              <c:f>Dashboard!$B$5</c:f>
              <c:strCache>
                <c:ptCount val="1"/>
                <c:pt idx="0">
                  <c:v>Europcar Avg
(€/day)</c:v>
                </c:pt>
              </c:strCache>
            </c:strRef>
          </c:tx>
          <c:invertIfNegative val="0"/>
          <c:cat>
            <c:strRef>
              <c:f>Dashboard!$A$6:$A$9</c:f>
              <c:strCache>
                <c:ptCount val="4"/>
                <c:pt idx="0">
                  <c:v>Dublin Airport</c:v>
                </c:pt>
                <c:pt idx="1">
                  <c:v>Cork Airport</c:v>
                </c:pt>
                <c:pt idx="2">
                  <c:v>Shannon Airport</c:v>
                </c:pt>
                <c:pt idx="3">
                  <c:v>Galway</c:v>
                </c:pt>
              </c:strCache>
            </c:strRef>
          </c:cat>
          <c:val>
            <c:numRef>
              <c:f>Dashboard!$B$6:$B$9</c:f>
              <c:numCache>
                <c:formatCode>\€#,##0.00</c:formatCode>
                <c:ptCount val="4"/>
                <c:pt idx="0">
                  <c:v>60.035714285714285</c:v>
                </c:pt>
                <c:pt idx="1">
                  <c:v>48.428571428571423</c:v>
                </c:pt>
                <c:pt idx="2">
                  <c:v>48.428571428571423</c:v>
                </c:pt>
                <c:pt idx="3">
                  <c:v>50.952380952380956</c:v>
                </c:pt>
              </c:numCache>
            </c:numRef>
          </c:val>
          <c:extLst>
            <c:ext xmlns:c16="http://schemas.microsoft.com/office/drawing/2014/chart" uri="{C3380CC4-5D6E-409C-BE32-E72D297353CC}">
              <c16:uniqueId val="{00000006-791A-4249-A7AC-51B179C7DBEF}"/>
            </c:ext>
          </c:extLst>
        </c:ser>
        <c:ser>
          <c:idx val="3"/>
          <c:order val="1"/>
          <c:tx>
            <c:strRef>
              <c:f>Dashboard!$C$5</c:f>
              <c:strCache>
                <c:ptCount val="1"/>
                <c:pt idx="0">
                  <c:v>Competitor Avg
(€/day)</c:v>
                </c:pt>
              </c:strCache>
            </c:strRef>
          </c:tx>
          <c:invertIfNegative val="0"/>
          <c:cat>
            <c:strRef>
              <c:f>Dashboard!$A$6:$A$9</c:f>
              <c:strCache>
                <c:ptCount val="4"/>
                <c:pt idx="0">
                  <c:v>Dublin Airport</c:v>
                </c:pt>
                <c:pt idx="1">
                  <c:v>Cork Airport</c:v>
                </c:pt>
                <c:pt idx="2">
                  <c:v>Shannon Airport</c:v>
                </c:pt>
                <c:pt idx="3">
                  <c:v>Galway</c:v>
                </c:pt>
              </c:strCache>
            </c:strRef>
          </c:cat>
          <c:val>
            <c:numRef>
              <c:f>Dashboard!$C$6:$C$9</c:f>
              <c:numCache>
                <c:formatCode>\€#,##0.00</c:formatCode>
                <c:ptCount val="4"/>
                <c:pt idx="0">
                  <c:v>105.00892857142856</c:v>
                </c:pt>
                <c:pt idx="1">
                  <c:v>62.047619047619058</c:v>
                </c:pt>
                <c:pt idx="2">
                  <c:v>62.361904761904775</c:v>
                </c:pt>
                <c:pt idx="3">
                  <c:v>88.261904761904759</c:v>
                </c:pt>
              </c:numCache>
            </c:numRef>
          </c:val>
          <c:extLst>
            <c:ext xmlns:c16="http://schemas.microsoft.com/office/drawing/2014/chart" uri="{C3380CC4-5D6E-409C-BE32-E72D297353CC}">
              <c16:uniqueId val="{00000007-791A-4249-A7AC-51B179C7DBEF}"/>
            </c:ext>
          </c:extLst>
        </c:ser>
        <c:dLbls>
          <c:showLegendKey val="0"/>
          <c:showVal val="0"/>
          <c:showCatName val="0"/>
          <c:showSerName val="0"/>
          <c:showPercent val="0"/>
          <c:showBubbleSize val="0"/>
        </c:dLbls>
        <c:gapWidth val="219"/>
        <c:overlap val="-27"/>
        <c:axId val="2117610432"/>
        <c:axId val="2117607296"/>
      </c:barChart>
      <c:catAx>
        <c:axId val="211761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07296"/>
        <c:crosses val="autoZero"/>
        <c:auto val="1"/>
        <c:lblAlgn val="ctr"/>
        <c:lblOffset val="100"/>
        <c:noMultiLvlLbl val="0"/>
      </c:catAx>
      <c:valAx>
        <c:axId val="2117607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10432"/>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457200</xdr:colOff>
      <xdr:row>18</xdr:row>
      <xdr:rowOff>12700</xdr:rowOff>
    </xdr:from>
    <xdr:to>
      <xdr:col>17</xdr:col>
      <xdr:colOff>215900</xdr:colOff>
      <xdr:row>30</xdr:row>
      <xdr:rowOff>457200</xdr:rowOff>
    </xdr:to>
    <xdr:graphicFrame macro="">
      <xdr:nvGraphicFramePr>
        <xdr:cNvPr id="4" name="Chart 3">
          <a:extLst>
            <a:ext uri="{FF2B5EF4-FFF2-40B4-BE49-F238E27FC236}">
              <a16:creationId xmlns:a16="http://schemas.microsoft.com/office/drawing/2014/main" id="{7BABF210-C8F8-AC1F-5D9D-70F92CA0F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3</xdr:row>
      <xdr:rowOff>76200</xdr:rowOff>
    </xdr:from>
    <xdr:to>
      <xdr:col>17</xdr:col>
      <xdr:colOff>254000</xdr:colOff>
      <xdr:row>16</xdr:row>
      <xdr:rowOff>266700</xdr:rowOff>
    </xdr:to>
    <xdr:graphicFrame macro="">
      <xdr:nvGraphicFramePr>
        <xdr:cNvPr id="3" name="Chart 2">
          <a:extLst>
            <a:ext uri="{FF2B5EF4-FFF2-40B4-BE49-F238E27FC236}">
              <a16:creationId xmlns:a16="http://schemas.microsoft.com/office/drawing/2014/main" id="{60C56434-86B2-5C43-C96D-883729C7F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AD9CBC6-7346-B34E-814C-F152CB9C3987}">
  <we:reference id="wa200009404" version="1.0.0.8" store="en-GB" storeType="OMEX"/>
  <we:alternateReferences>
    <we:reference id="WA200009404" version="1.0.0.8" store="WA200009404" storeType="OMEX"/>
  </we:alternateReferences>
  <we:properties>
    <we:property name="claude.fileId" value="&quot;88f7a488-221f-450f-8310-7180aaa12a0b&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0EB9-1033-1E4C-8945-5A4911691807}">
  <sheetPr codeName="Sheet1"/>
  <dimension ref="A1:G45"/>
  <sheetViews>
    <sheetView zoomScale="120" zoomScaleNormal="120" workbookViewId="0">
      <selection activeCell="G27" sqref="G27"/>
    </sheetView>
  </sheetViews>
  <sheetFormatPr baseColWidth="10" defaultRowHeight="16" x14ac:dyDescent="0.2"/>
  <cols>
    <col min="1" max="1" width="16.33203125" customWidth="1"/>
    <col min="2" max="2" width="20.33203125" bestFit="1" customWidth="1"/>
    <col min="3" max="3" width="20.5" customWidth="1"/>
    <col min="4" max="4" width="18.33203125" customWidth="1"/>
    <col min="5" max="5" width="23.5" customWidth="1"/>
    <col min="6" max="6" width="17.33203125" customWidth="1"/>
    <col min="7" max="7" width="34.83203125" customWidth="1"/>
  </cols>
  <sheetData>
    <row r="1" spans="1:7" ht="17" customHeight="1" x14ac:dyDescent="0.2">
      <c r="A1" s="147" t="s">
        <v>45</v>
      </c>
      <c r="B1" s="147"/>
      <c r="C1" s="147"/>
      <c r="D1" s="147"/>
      <c r="E1" s="147"/>
      <c r="F1" s="147"/>
      <c r="G1" s="147"/>
    </row>
    <row r="2" spans="1:7" ht="18" customHeight="1" thickBot="1" x14ac:dyDescent="0.25">
      <c r="A2" s="147"/>
      <c r="B2" s="147"/>
      <c r="C2" s="147"/>
      <c r="D2" s="147"/>
      <c r="E2" s="147"/>
      <c r="F2" s="147"/>
      <c r="G2" s="147"/>
    </row>
    <row r="3" spans="1:7" ht="20" thickTop="1" thickBot="1" x14ac:dyDescent="0.3">
      <c r="A3" s="3" t="s">
        <v>0</v>
      </c>
      <c r="B3" s="4" t="s">
        <v>1</v>
      </c>
      <c r="C3" s="4" t="s">
        <v>8</v>
      </c>
      <c r="D3" s="4" t="s">
        <v>9</v>
      </c>
      <c r="E3" s="4" t="s">
        <v>7</v>
      </c>
      <c r="F3" s="109" t="s">
        <v>10</v>
      </c>
      <c r="G3" s="4" t="s">
        <v>47</v>
      </c>
    </row>
    <row r="4" spans="1:7" ht="17" thickTop="1" x14ac:dyDescent="0.2">
      <c r="A4" s="81" t="s">
        <v>2</v>
      </c>
      <c r="B4" s="9" t="s">
        <v>17</v>
      </c>
      <c r="C4" s="7">
        <f>148/7</f>
        <v>21.142857142857142</v>
      </c>
      <c r="D4" s="7">
        <f>248/7</f>
        <v>35.428571428571431</v>
      </c>
      <c r="E4" s="187">
        <f>176/7</f>
        <v>25.142857142857142</v>
      </c>
      <c r="F4" s="7">
        <f>303/7</f>
        <v>43.285714285714285</v>
      </c>
      <c r="G4" s="193" t="str">
        <f>A4&amp; " | "&amp;B4</f>
        <v>Dublin Airport | Economy (Small Car)</v>
      </c>
    </row>
    <row r="5" spans="1:7" x14ac:dyDescent="0.2">
      <c r="A5" s="82" t="s">
        <v>2</v>
      </c>
      <c r="B5" s="10" t="s">
        <v>18</v>
      </c>
      <c r="C5" s="8">
        <f>167/7</f>
        <v>23.857142857142858</v>
      </c>
      <c r="D5" s="8">
        <f>266/7</f>
        <v>38</v>
      </c>
      <c r="E5" s="188">
        <f>190/7</f>
        <v>27.142857142857142</v>
      </c>
      <c r="F5" s="8">
        <f>329/7</f>
        <v>47</v>
      </c>
      <c r="G5" s="194" t="str">
        <f>A5&amp; " | "&amp;B5</f>
        <v>Dublin Airport | Compact (Medium Car)</v>
      </c>
    </row>
    <row r="6" spans="1:7" x14ac:dyDescent="0.2">
      <c r="A6" s="81" t="s">
        <v>2</v>
      </c>
      <c r="B6" s="5" t="s">
        <v>5</v>
      </c>
      <c r="C6" s="7">
        <f>207/7</f>
        <v>29.571428571428573</v>
      </c>
      <c r="D6" s="7">
        <f>280/7</f>
        <v>40</v>
      </c>
      <c r="E6" s="187">
        <f>227/7</f>
        <v>32.428571428571431</v>
      </c>
      <c r="F6" s="7">
        <f>385/7</f>
        <v>55</v>
      </c>
      <c r="G6" s="195" t="str">
        <f>A6&amp; " | "&amp;B6</f>
        <v>Dublin Airport | SUV</v>
      </c>
    </row>
    <row r="7" spans="1:7" x14ac:dyDescent="0.2">
      <c r="A7" s="82" t="s">
        <v>2</v>
      </c>
      <c r="B7" s="6" t="s">
        <v>6</v>
      </c>
      <c r="C7" s="11" t="s">
        <v>23</v>
      </c>
      <c r="D7" s="8">
        <f>596/7</f>
        <v>85.142857142857139</v>
      </c>
      <c r="E7" s="189" t="s">
        <v>23</v>
      </c>
      <c r="F7" s="8">
        <f>664/7</f>
        <v>94.857142857142861</v>
      </c>
      <c r="G7" s="196" t="str">
        <f>A7&amp; " | "&amp;B7</f>
        <v>Dublin Airport | People carrier</v>
      </c>
    </row>
    <row r="8" spans="1:7" x14ac:dyDescent="0.2">
      <c r="A8" s="83"/>
      <c r="B8" s="9"/>
      <c r="C8" s="7"/>
      <c r="D8" s="7"/>
      <c r="E8" s="187"/>
      <c r="F8" s="7"/>
      <c r="G8" s="195"/>
    </row>
    <row r="9" spans="1:7" x14ac:dyDescent="0.2">
      <c r="A9" s="84" t="s">
        <v>22</v>
      </c>
      <c r="B9" s="10" t="s">
        <v>17</v>
      </c>
      <c r="C9" s="8">
        <f>148/7</f>
        <v>21.142857142857142</v>
      </c>
      <c r="D9" s="8">
        <f>248/7</f>
        <v>35.428571428571431</v>
      </c>
      <c r="E9" s="188">
        <f>176/7</f>
        <v>25.142857142857142</v>
      </c>
      <c r="F9" s="8">
        <f>303/7</f>
        <v>43.285714285714285</v>
      </c>
      <c r="G9" s="196" t="str">
        <f>A9&amp;" | "&amp;B9</f>
        <v>Cork Airport | Economy (Small Car)</v>
      </c>
    </row>
    <row r="10" spans="1:7" x14ac:dyDescent="0.2">
      <c r="A10" s="85" t="s">
        <v>22</v>
      </c>
      <c r="B10" s="5" t="s">
        <v>18</v>
      </c>
      <c r="C10" s="7">
        <f>167/7</f>
        <v>23.857142857142858</v>
      </c>
      <c r="D10" s="7">
        <f>266/7</f>
        <v>38</v>
      </c>
      <c r="E10" s="187">
        <f>190/7</f>
        <v>27.142857142857142</v>
      </c>
      <c r="F10" s="7">
        <f>329/7</f>
        <v>47</v>
      </c>
      <c r="G10" s="195" t="str">
        <f>A10&amp;" | "&amp;B10</f>
        <v>Cork Airport | Compact (Medium Car)</v>
      </c>
    </row>
    <row r="11" spans="1:7" x14ac:dyDescent="0.2">
      <c r="A11" s="84" t="s">
        <v>22</v>
      </c>
      <c r="B11" s="6" t="s">
        <v>5</v>
      </c>
      <c r="C11" s="8">
        <f>207/7</f>
        <v>29.571428571428573</v>
      </c>
      <c r="D11" s="8">
        <f>316/7</f>
        <v>45.142857142857146</v>
      </c>
      <c r="E11" s="188">
        <f>227/7</f>
        <v>32.428571428571431</v>
      </c>
      <c r="F11" s="8">
        <f>385/7</f>
        <v>55</v>
      </c>
      <c r="G11" s="196" t="str">
        <f>A11&amp;" | "&amp;B11</f>
        <v>Cork Airport | SUV</v>
      </c>
    </row>
    <row r="12" spans="1:7" x14ac:dyDescent="0.2">
      <c r="A12" s="86" t="s">
        <v>22</v>
      </c>
      <c r="B12" s="9" t="s">
        <v>6</v>
      </c>
      <c r="C12" s="12" t="s">
        <v>23</v>
      </c>
      <c r="D12" s="12" t="s">
        <v>23</v>
      </c>
      <c r="E12" s="190" t="s">
        <v>23</v>
      </c>
      <c r="F12" s="12" t="s">
        <v>23</v>
      </c>
      <c r="G12" s="195" t="str">
        <f>A12&amp;" | "&amp;B12</f>
        <v>Cork Airport | People carrier</v>
      </c>
    </row>
    <row r="13" spans="1:7" x14ac:dyDescent="0.2">
      <c r="A13" s="87"/>
      <c r="B13" s="10"/>
      <c r="C13" s="8"/>
      <c r="D13" s="8"/>
      <c r="E13" s="188"/>
      <c r="F13" s="8"/>
      <c r="G13" s="196"/>
    </row>
    <row r="14" spans="1:7" x14ac:dyDescent="0.2">
      <c r="A14" s="86" t="s">
        <v>24</v>
      </c>
      <c r="B14" s="9" t="s">
        <v>17</v>
      </c>
      <c r="C14" s="13">
        <f>148/7</f>
        <v>21.142857142857142</v>
      </c>
      <c r="D14" s="13">
        <f>248/7</f>
        <v>35.428571428571431</v>
      </c>
      <c r="E14" s="191">
        <f>176/7</f>
        <v>25.142857142857142</v>
      </c>
      <c r="F14" s="13">
        <f>303/7</f>
        <v>43.285714285714285</v>
      </c>
      <c r="G14" s="195" t="str">
        <f>A14&amp;" | "&amp;B14</f>
        <v>Shannon Airport | Economy (Small Car)</v>
      </c>
    </row>
    <row r="15" spans="1:7" x14ac:dyDescent="0.2">
      <c r="A15" s="84" t="s">
        <v>24</v>
      </c>
      <c r="B15" s="10" t="s">
        <v>18</v>
      </c>
      <c r="C15" s="8">
        <f>167/7</f>
        <v>23.857142857142858</v>
      </c>
      <c r="D15" s="8">
        <f>266/7</f>
        <v>38</v>
      </c>
      <c r="E15" s="188">
        <f>190/7</f>
        <v>27.142857142857142</v>
      </c>
      <c r="F15" s="8">
        <f>329/7</f>
        <v>47</v>
      </c>
      <c r="G15" s="196" t="str">
        <f>A15&amp;" | "&amp;B15</f>
        <v>Shannon Airport | Compact (Medium Car)</v>
      </c>
    </row>
    <row r="16" spans="1:7" x14ac:dyDescent="0.2">
      <c r="A16" s="86" t="s">
        <v>24</v>
      </c>
      <c r="B16" s="5" t="s">
        <v>5</v>
      </c>
      <c r="C16" s="7">
        <f>207/7</f>
        <v>29.571428571428573</v>
      </c>
      <c r="D16" s="186">
        <f>316/7</f>
        <v>45.142857142857146</v>
      </c>
      <c r="E16" s="187">
        <f>227/7</f>
        <v>32.428571428571431</v>
      </c>
      <c r="F16" s="7">
        <f>385/7</f>
        <v>55</v>
      </c>
      <c r="G16" s="195" t="str">
        <f>A16&amp;" | "&amp;B16</f>
        <v>Shannon Airport | SUV</v>
      </c>
    </row>
    <row r="17" spans="1:7" x14ac:dyDescent="0.2">
      <c r="A17" s="84" t="s">
        <v>24</v>
      </c>
      <c r="B17" s="6" t="s">
        <v>6</v>
      </c>
      <c r="C17" s="14" t="s">
        <v>23</v>
      </c>
      <c r="D17" s="14" t="s">
        <v>23</v>
      </c>
      <c r="E17" s="192" t="s">
        <v>23</v>
      </c>
      <c r="F17" s="14" t="s">
        <v>23</v>
      </c>
      <c r="G17" s="196" t="str">
        <f>A17&amp;" | "&amp;B17</f>
        <v>Shannon Airport | People carrier</v>
      </c>
    </row>
    <row r="18" spans="1:7" x14ac:dyDescent="0.2">
      <c r="A18" s="83"/>
      <c r="B18" s="9"/>
      <c r="C18" s="12"/>
      <c r="D18" s="12"/>
      <c r="E18" s="190"/>
      <c r="F18" s="12"/>
      <c r="G18" s="195"/>
    </row>
    <row r="19" spans="1:7" x14ac:dyDescent="0.2">
      <c r="A19" s="88" t="s">
        <v>27</v>
      </c>
      <c r="B19" s="10" t="s">
        <v>17</v>
      </c>
      <c r="C19" s="8">
        <f>161/7</f>
        <v>23</v>
      </c>
      <c r="D19" s="8">
        <f>261/7</f>
        <v>37.285714285714285</v>
      </c>
      <c r="E19" s="188">
        <f>193/7</f>
        <v>27.571428571428573</v>
      </c>
      <c r="F19" s="8">
        <f>318/7</f>
        <v>45.428571428571431</v>
      </c>
      <c r="G19" s="196" t="str">
        <f>A19&amp;" | "&amp;B19</f>
        <v>Galway | Economy (Small Car)</v>
      </c>
    </row>
    <row r="20" spans="1:7" x14ac:dyDescent="0.2">
      <c r="A20" s="85" t="s">
        <v>27</v>
      </c>
      <c r="B20" s="5" t="s">
        <v>18</v>
      </c>
      <c r="C20" s="7">
        <f>176/7</f>
        <v>25.142857142857142</v>
      </c>
      <c r="D20" s="7">
        <f>281/7</f>
        <v>40.142857142857146</v>
      </c>
      <c r="E20" s="187">
        <f>200/7</f>
        <v>28.571428571428573</v>
      </c>
      <c r="F20" s="7">
        <f>346/7</f>
        <v>49.428571428571431</v>
      </c>
      <c r="G20" s="195" t="str">
        <f>A20&amp;" | "&amp;B20</f>
        <v>Galway | Compact (Medium Car)</v>
      </c>
    </row>
    <row r="21" spans="1:7" x14ac:dyDescent="0.2">
      <c r="A21" s="88" t="s">
        <v>27</v>
      </c>
      <c r="B21" s="6" t="s">
        <v>5</v>
      </c>
      <c r="C21" s="8">
        <f>221/7</f>
        <v>31.571428571428573</v>
      </c>
      <c r="D21" s="8">
        <f>335/7</f>
        <v>47.857142857142854</v>
      </c>
      <c r="E21" s="188">
        <f>241/7</f>
        <v>34.428571428571431</v>
      </c>
      <c r="F21" s="8">
        <f>406/7</f>
        <v>58</v>
      </c>
      <c r="G21" s="196" t="str">
        <f>A21&amp;" | "&amp;B21</f>
        <v>Galway | SUV</v>
      </c>
    </row>
    <row r="22" spans="1:7" x14ac:dyDescent="0.2">
      <c r="A22" s="85" t="s">
        <v>27</v>
      </c>
      <c r="B22" s="9" t="s">
        <v>6</v>
      </c>
      <c r="C22" s="12" t="s">
        <v>23</v>
      </c>
      <c r="D22" s="12" t="s">
        <v>23</v>
      </c>
      <c r="E22" s="190" t="s">
        <v>23</v>
      </c>
      <c r="F22" s="12" t="s">
        <v>23</v>
      </c>
      <c r="G22" s="195" t="str">
        <f>A22&amp;" | "&amp;B22</f>
        <v>Galway | People carrier</v>
      </c>
    </row>
    <row r="24" spans="1:7" x14ac:dyDescent="0.2">
      <c r="A24" s="127" t="s">
        <v>11</v>
      </c>
      <c r="B24" s="128" t="s">
        <v>14</v>
      </c>
    </row>
    <row r="26" spans="1:7" x14ac:dyDescent="0.2">
      <c r="A26" s="153" t="s">
        <v>44</v>
      </c>
      <c r="B26" s="155"/>
    </row>
    <row r="27" spans="1:7" ht="34" x14ac:dyDescent="0.2">
      <c r="A27" s="129" t="s">
        <v>12</v>
      </c>
      <c r="B27" s="124" t="s">
        <v>21</v>
      </c>
    </row>
    <row r="28" spans="1:7" ht="34" x14ac:dyDescent="0.2">
      <c r="A28" s="130" t="s">
        <v>13</v>
      </c>
      <c r="B28" s="126" t="s">
        <v>15</v>
      </c>
    </row>
    <row r="31" spans="1:7" x14ac:dyDescent="0.2">
      <c r="A31" s="153" t="s">
        <v>16</v>
      </c>
      <c r="B31" s="154"/>
      <c r="C31" s="154"/>
      <c r="D31" s="154"/>
      <c r="E31" s="154"/>
      <c r="F31" s="155"/>
    </row>
    <row r="32" spans="1:7" x14ac:dyDescent="0.2">
      <c r="A32" s="115" t="s">
        <v>3</v>
      </c>
      <c r="B32" s="136" t="s">
        <v>113</v>
      </c>
      <c r="C32" s="136"/>
      <c r="D32" s="136"/>
      <c r="E32" s="136"/>
      <c r="F32" s="150"/>
    </row>
    <row r="33" spans="1:7" x14ac:dyDescent="0.2">
      <c r="A33" s="116" t="s">
        <v>4</v>
      </c>
      <c r="B33" s="136" t="s">
        <v>40</v>
      </c>
      <c r="C33" s="136"/>
      <c r="D33" s="136"/>
      <c r="E33" s="136"/>
      <c r="F33" s="150"/>
    </row>
    <row r="34" spans="1:7" x14ac:dyDescent="0.2">
      <c r="A34" s="116" t="s">
        <v>5</v>
      </c>
      <c r="B34" s="136" t="s">
        <v>41</v>
      </c>
      <c r="C34" s="136"/>
      <c r="D34" s="136"/>
      <c r="E34" s="136"/>
      <c r="F34" s="150"/>
    </row>
    <row r="35" spans="1:7" x14ac:dyDescent="0.2">
      <c r="A35" s="117" t="s">
        <v>6</v>
      </c>
      <c r="B35" s="151" t="s">
        <v>43</v>
      </c>
      <c r="C35" s="151"/>
      <c r="D35" s="151"/>
      <c r="E35" s="151"/>
      <c r="F35" s="152"/>
    </row>
    <row r="38" spans="1:7" x14ac:dyDescent="0.2">
      <c r="A38" s="153" t="s">
        <v>19</v>
      </c>
      <c r="B38" s="154"/>
      <c r="C38" s="154"/>
      <c r="D38" s="154"/>
      <c r="E38" s="154"/>
      <c r="F38" s="155"/>
    </row>
    <row r="39" spans="1:7" ht="16" customHeight="1" x14ac:dyDescent="0.2">
      <c r="A39" s="118">
        <v>1</v>
      </c>
      <c r="B39" s="148" t="s">
        <v>20</v>
      </c>
      <c r="C39" s="148"/>
      <c r="D39" s="148"/>
      <c r="E39" s="148"/>
      <c r="F39" s="149"/>
    </row>
    <row r="40" spans="1:7" ht="16" customHeight="1" x14ac:dyDescent="0.2">
      <c r="A40" s="146">
        <v>2</v>
      </c>
      <c r="B40" s="145" t="s">
        <v>112</v>
      </c>
      <c r="C40" s="145"/>
      <c r="D40" s="145"/>
      <c r="E40" s="145"/>
      <c r="F40" s="121"/>
      <c r="G40" s="1"/>
    </row>
    <row r="41" spans="1:7" x14ac:dyDescent="0.2">
      <c r="A41" s="146"/>
      <c r="B41" s="145"/>
      <c r="C41" s="145"/>
      <c r="D41" s="145"/>
      <c r="E41" s="145"/>
      <c r="F41" s="121"/>
    </row>
    <row r="42" spans="1:7" x14ac:dyDescent="0.2">
      <c r="A42" s="146"/>
      <c r="B42" s="145"/>
      <c r="C42" s="145"/>
      <c r="D42" s="145"/>
      <c r="E42" s="145"/>
      <c r="F42" s="121"/>
    </row>
    <row r="43" spans="1:7" ht="18" customHeight="1" x14ac:dyDescent="0.2">
      <c r="A43" s="119">
        <v>3</v>
      </c>
      <c r="B43" s="145" t="s">
        <v>25</v>
      </c>
      <c r="C43" s="145"/>
      <c r="D43" s="145"/>
      <c r="E43" s="145"/>
      <c r="F43" s="121"/>
    </row>
    <row r="44" spans="1:7" x14ac:dyDescent="0.2">
      <c r="A44" s="119">
        <v>4</v>
      </c>
      <c r="B44" s="145" t="s">
        <v>26</v>
      </c>
      <c r="C44" s="145"/>
      <c r="D44" s="145"/>
      <c r="E44" s="145"/>
      <c r="F44" s="112"/>
    </row>
    <row r="45" spans="1:7" x14ac:dyDescent="0.2">
      <c r="A45" s="122">
        <v>5</v>
      </c>
      <c r="B45" s="113" t="s">
        <v>42</v>
      </c>
      <c r="C45" s="113"/>
      <c r="D45" s="113"/>
      <c r="E45" s="113"/>
      <c r="F45" s="114"/>
    </row>
  </sheetData>
  <mergeCells count="13">
    <mergeCell ref="B44:E44"/>
    <mergeCell ref="B40:E42"/>
    <mergeCell ref="A40:A42"/>
    <mergeCell ref="B43:E43"/>
    <mergeCell ref="A1:G2"/>
    <mergeCell ref="B39:F39"/>
    <mergeCell ref="B32:F32"/>
    <mergeCell ref="B33:F33"/>
    <mergeCell ref="B34:F34"/>
    <mergeCell ref="B35:F35"/>
    <mergeCell ref="A31:F31"/>
    <mergeCell ref="A26:B26"/>
    <mergeCell ref="A38:F38"/>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3881F-3381-424A-B338-C66B411E3381}">
  <dimension ref="A1:X48"/>
  <sheetViews>
    <sheetView topLeftCell="J1" zoomScale="120" zoomScaleNormal="120" workbookViewId="0">
      <selection activeCell="C53" sqref="C53"/>
    </sheetView>
  </sheetViews>
  <sheetFormatPr baseColWidth="10" defaultRowHeight="16" x14ac:dyDescent="0.2"/>
  <cols>
    <col min="1" max="1" width="17.5" bestFit="1" customWidth="1"/>
    <col min="2" max="2" width="13.5" bestFit="1" customWidth="1"/>
    <col min="7" max="7" width="17.5" bestFit="1" customWidth="1"/>
    <col min="13" max="13" width="17.5" bestFit="1" customWidth="1"/>
    <col min="19" max="19" width="17.5" bestFit="1" customWidth="1"/>
  </cols>
  <sheetData>
    <row r="1" spans="1:24" ht="17" thickBot="1" x14ac:dyDescent="0.25">
      <c r="A1" s="162" t="s">
        <v>46</v>
      </c>
      <c r="B1" s="162"/>
      <c r="C1" s="162"/>
      <c r="D1" s="162"/>
      <c r="E1" s="162"/>
      <c r="F1" s="162"/>
      <c r="G1" s="162"/>
      <c r="H1" s="162"/>
      <c r="I1" s="162"/>
      <c r="J1" s="162"/>
      <c r="K1" s="162"/>
      <c r="L1" s="162"/>
      <c r="M1" s="162"/>
      <c r="N1" s="162"/>
      <c r="O1" s="162"/>
      <c r="P1" s="162"/>
      <c r="Q1" s="162"/>
      <c r="R1" s="162"/>
      <c r="S1" s="162"/>
      <c r="T1" s="162"/>
      <c r="U1" s="162"/>
      <c r="V1" s="162"/>
      <c r="W1" s="162"/>
      <c r="X1" s="162"/>
    </row>
    <row r="2" spans="1:24" ht="18" thickTop="1" thickBot="1" x14ac:dyDescent="0.25">
      <c r="A2" s="162"/>
      <c r="B2" s="162"/>
      <c r="C2" s="162"/>
      <c r="D2" s="162"/>
      <c r="E2" s="162"/>
      <c r="F2" s="162"/>
      <c r="G2" s="162"/>
      <c r="H2" s="162"/>
      <c r="I2" s="162"/>
      <c r="J2" s="162"/>
      <c r="K2" s="162"/>
      <c r="L2" s="162"/>
      <c r="M2" s="162"/>
      <c r="N2" s="162"/>
      <c r="O2" s="162"/>
      <c r="P2" s="162"/>
      <c r="Q2" s="162"/>
      <c r="R2" s="162"/>
      <c r="S2" s="162"/>
      <c r="T2" s="162"/>
      <c r="U2" s="162"/>
      <c r="V2" s="162"/>
      <c r="W2" s="162"/>
      <c r="X2" s="162"/>
    </row>
    <row r="3" spans="1:24" ht="18" thickTop="1" thickBot="1" x14ac:dyDescent="0.25">
      <c r="A3" s="162"/>
      <c r="B3" s="162"/>
      <c r="C3" s="162"/>
      <c r="D3" s="162"/>
      <c r="E3" s="162"/>
      <c r="F3" s="162"/>
      <c r="G3" s="162"/>
      <c r="H3" s="162"/>
      <c r="I3" s="162"/>
      <c r="J3" s="162"/>
      <c r="K3" s="162"/>
      <c r="L3" s="162"/>
      <c r="M3" s="162"/>
      <c r="N3" s="162"/>
      <c r="O3" s="162"/>
      <c r="P3" s="162"/>
      <c r="Q3" s="162"/>
      <c r="R3" s="162"/>
      <c r="S3" s="162"/>
      <c r="T3" s="162"/>
      <c r="U3" s="162"/>
      <c r="V3" s="162"/>
      <c r="W3" s="162"/>
      <c r="X3" s="162"/>
    </row>
    <row r="4" spans="1:24" ht="18" thickTop="1" thickBot="1" x14ac:dyDescent="0.25">
      <c r="A4" s="170" t="s">
        <v>2</v>
      </c>
      <c r="B4" s="171"/>
      <c r="C4" s="171"/>
      <c r="D4" s="171"/>
      <c r="E4" s="171"/>
      <c r="F4" s="172"/>
      <c r="G4" s="165" t="s">
        <v>34</v>
      </c>
      <c r="H4" s="166"/>
      <c r="I4" s="166"/>
      <c r="J4" s="166"/>
      <c r="K4" s="166"/>
      <c r="L4" s="167"/>
      <c r="M4" s="176" t="s">
        <v>24</v>
      </c>
      <c r="N4" s="177"/>
      <c r="O4" s="177"/>
      <c r="P4" s="177"/>
      <c r="Q4" s="177"/>
      <c r="R4" s="178"/>
      <c r="S4" s="173" t="s">
        <v>27</v>
      </c>
      <c r="T4" s="174"/>
      <c r="U4" s="174"/>
      <c r="V4" s="174"/>
      <c r="W4" s="174"/>
      <c r="X4" s="175"/>
    </row>
    <row r="5" spans="1:24" ht="18" thickTop="1" thickBot="1" x14ac:dyDescent="0.25">
      <c r="A5" s="15"/>
      <c r="B5" s="15" t="s">
        <v>28</v>
      </c>
      <c r="C5" s="15" t="s">
        <v>29</v>
      </c>
      <c r="D5" s="15" t="s">
        <v>30</v>
      </c>
      <c r="E5" s="15" t="s">
        <v>31</v>
      </c>
      <c r="F5" s="37" t="s">
        <v>32</v>
      </c>
      <c r="G5" s="15"/>
      <c r="H5" s="15" t="str">
        <f t="shared" ref="H5:L5" si="0">B5</f>
        <v>Hertz</v>
      </c>
      <c r="I5" s="15" t="str">
        <f t="shared" si="0"/>
        <v>Avis</v>
      </c>
      <c r="J5" s="15" t="str">
        <f t="shared" si="0"/>
        <v>Enterprise</v>
      </c>
      <c r="K5" s="15" t="str">
        <f t="shared" si="0"/>
        <v>Budget</v>
      </c>
      <c r="L5" s="37" t="str">
        <f t="shared" si="0"/>
        <v>Sixt</v>
      </c>
      <c r="M5" s="15"/>
      <c r="N5" s="15" t="str">
        <f t="shared" ref="N5:R5" si="1">H5</f>
        <v>Hertz</v>
      </c>
      <c r="O5" s="15" t="str">
        <f t="shared" si="1"/>
        <v>Avis</v>
      </c>
      <c r="P5" s="15" t="str">
        <f t="shared" si="1"/>
        <v>Enterprise</v>
      </c>
      <c r="Q5" s="15" t="str">
        <f t="shared" si="1"/>
        <v>Budget</v>
      </c>
      <c r="R5" s="37" t="str">
        <f t="shared" si="1"/>
        <v>Sixt</v>
      </c>
      <c r="S5" s="15"/>
      <c r="T5" s="15" t="str">
        <f t="shared" ref="T5:X5" si="2">N5</f>
        <v>Hertz</v>
      </c>
      <c r="U5" s="15" t="str">
        <f t="shared" si="2"/>
        <v>Avis</v>
      </c>
      <c r="V5" s="15" t="str">
        <f t="shared" si="2"/>
        <v>Enterprise</v>
      </c>
      <c r="W5" s="15" t="str">
        <f t="shared" si="2"/>
        <v>Budget</v>
      </c>
      <c r="X5" s="38" t="str">
        <f t="shared" si="2"/>
        <v>Sixt</v>
      </c>
    </row>
    <row r="6" spans="1:24" ht="17" thickBot="1" x14ac:dyDescent="0.25">
      <c r="A6" s="36" t="s">
        <v>33</v>
      </c>
      <c r="B6" s="168" t="s">
        <v>17</v>
      </c>
      <c r="C6" s="168"/>
      <c r="D6" s="168"/>
      <c r="E6" s="168"/>
      <c r="F6" s="169"/>
      <c r="G6" s="36" t="str">
        <f t="shared" ref="G6:G28" si="3">A6</f>
        <v>Class</v>
      </c>
      <c r="H6" s="168" t="s">
        <v>17</v>
      </c>
      <c r="I6" s="168"/>
      <c r="J6" s="168"/>
      <c r="K6" s="168"/>
      <c r="L6" s="169"/>
      <c r="M6" s="36" t="str">
        <f t="shared" ref="M6:M28" si="4">G6</f>
        <v>Class</v>
      </c>
      <c r="N6" s="168" t="str">
        <f t="shared" ref="N6:N24" si="5">H6</f>
        <v>Economy (Small Car)</v>
      </c>
      <c r="O6" s="168"/>
      <c r="P6" s="168"/>
      <c r="Q6" s="168"/>
      <c r="R6" s="169"/>
      <c r="S6" s="36" t="str">
        <f t="shared" ref="S6:S28" si="6">M6</f>
        <v>Class</v>
      </c>
      <c r="T6" s="168" t="str">
        <f t="shared" ref="T6:T24" si="7">N6</f>
        <v>Economy (Small Car)</v>
      </c>
      <c r="U6" s="168"/>
      <c r="V6" s="168"/>
      <c r="W6" s="168"/>
      <c r="X6" s="169"/>
    </row>
    <row r="7" spans="1:24" x14ac:dyDescent="0.2">
      <c r="A7" s="20" t="str" cm="1">
        <f t="array" ref="A7:A10">TRANSPOSE('Europcar rates'!C3:F3)</f>
        <v>Low Season Manual</v>
      </c>
      <c r="B7" s="56">
        <f>155/7</f>
        <v>22.142857142857142</v>
      </c>
      <c r="C7" s="56">
        <f>160/7</f>
        <v>22.857142857142858</v>
      </c>
      <c r="D7" s="56">
        <f>270/7</f>
        <v>38.571428571428569</v>
      </c>
      <c r="E7" s="56">
        <f>116/7</f>
        <v>16.571428571428573</v>
      </c>
      <c r="F7" s="57">
        <f>140/7</f>
        <v>20</v>
      </c>
      <c r="G7" s="62" t="str">
        <f t="shared" si="3"/>
        <v>Low Season Manual</v>
      </c>
      <c r="H7" s="49">
        <f>160/7</f>
        <v>22.857142857142858</v>
      </c>
      <c r="I7" s="49">
        <f>165/7</f>
        <v>23.571428571428573</v>
      </c>
      <c r="J7" s="49">
        <f>370/7</f>
        <v>52.857142857142854</v>
      </c>
      <c r="K7" s="49">
        <f>116/7</f>
        <v>16.571428571428573</v>
      </c>
      <c r="L7" s="50">
        <f>140/7</f>
        <v>20</v>
      </c>
      <c r="M7" s="63" t="str">
        <f t="shared" si="4"/>
        <v>Low Season Manual</v>
      </c>
      <c r="N7" s="39">
        <f>155/7</f>
        <v>22.142857142857142</v>
      </c>
      <c r="O7" s="39">
        <f>165/7</f>
        <v>23.571428571428573</v>
      </c>
      <c r="P7" s="39">
        <f>370/7</f>
        <v>52.857142857142854</v>
      </c>
      <c r="Q7" s="39">
        <f>113/7</f>
        <v>16.142857142857142</v>
      </c>
      <c r="R7" s="40">
        <f>228/7</f>
        <v>32.571428571428569</v>
      </c>
      <c r="S7" s="64" t="str">
        <f t="shared" si="6"/>
        <v>Low Season Manual</v>
      </c>
      <c r="T7" s="25" t="s">
        <v>23</v>
      </c>
      <c r="U7" s="25" t="s">
        <v>23</v>
      </c>
      <c r="V7" s="23">
        <f>281/7</f>
        <v>40.142857142857146</v>
      </c>
      <c r="W7" s="23">
        <f>233/7</f>
        <v>33.285714285714285</v>
      </c>
      <c r="X7" s="32" t="s">
        <v>23</v>
      </c>
    </row>
    <row r="8" spans="1:24" x14ac:dyDescent="0.2">
      <c r="A8" s="21" t="str">
        <v>Low Season Auto</v>
      </c>
      <c r="B8" s="58">
        <f>260/7</f>
        <v>37.142857142857146</v>
      </c>
      <c r="C8" s="58">
        <f>260/7</f>
        <v>37.142857142857146</v>
      </c>
      <c r="D8" s="58">
        <f>887/7</f>
        <v>126.71428571428571</v>
      </c>
      <c r="E8" s="58">
        <f>210/7</f>
        <v>30</v>
      </c>
      <c r="F8" s="59">
        <f>217/7</f>
        <v>31</v>
      </c>
      <c r="G8" s="65" t="str">
        <f t="shared" si="3"/>
        <v>Low Season Auto</v>
      </c>
      <c r="H8" s="51">
        <f>260/7</f>
        <v>37.142857142857146</v>
      </c>
      <c r="I8" s="51">
        <f>274/7</f>
        <v>39.142857142857146</v>
      </c>
      <c r="J8" s="51">
        <f>510/7</f>
        <v>72.857142857142861</v>
      </c>
      <c r="K8" s="51">
        <f>210/7</f>
        <v>30</v>
      </c>
      <c r="L8" s="52">
        <f>217/7</f>
        <v>31</v>
      </c>
      <c r="M8" s="66" t="str">
        <f t="shared" si="4"/>
        <v>Low Season Auto</v>
      </c>
      <c r="N8" s="41">
        <f>260/7</f>
        <v>37.142857142857146</v>
      </c>
      <c r="O8" s="41">
        <f>274/7</f>
        <v>39.142857142857146</v>
      </c>
      <c r="P8" s="41">
        <f>481/7</f>
        <v>68.714285714285708</v>
      </c>
      <c r="Q8" s="41">
        <f>210/7</f>
        <v>30</v>
      </c>
      <c r="R8" s="42">
        <f>277/7</f>
        <v>39.571428571428569</v>
      </c>
      <c r="S8" s="67" t="str">
        <f t="shared" si="6"/>
        <v>Low Season Auto</v>
      </c>
      <c r="T8" s="26" t="s">
        <v>23</v>
      </c>
      <c r="U8" s="26" t="s">
        <v>23</v>
      </c>
      <c r="V8" s="24">
        <f>308/7</f>
        <v>44</v>
      </c>
      <c r="W8" s="24">
        <f>377/7</f>
        <v>53.857142857142854</v>
      </c>
      <c r="X8" s="33" t="s">
        <v>23</v>
      </c>
    </row>
    <row r="9" spans="1:24" x14ac:dyDescent="0.2">
      <c r="A9" s="20" t="str">
        <v>High Season Manual</v>
      </c>
      <c r="B9" s="56">
        <f>184/7</f>
        <v>26.285714285714285</v>
      </c>
      <c r="C9" s="56">
        <f>192/7</f>
        <v>27.428571428571427</v>
      </c>
      <c r="D9" s="56">
        <f>350/7</f>
        <v>50</v>
      </c>
      <c r="E9" s="56">
        <f>150/7</f>
        <v>21.428571428571427</v>
      </c>
      <c r="F9" s="57">
        <f>228/7</f>
        <v>32.571428571428569</v>
      </c>
      <c r="G9" s="62" t="str">
        <f t="shared" si="3"/>
        <v>High Season Manual</v>
      </c>
      <c r="H9" s="49">
        <f>184/7</f>
        <v>26.285714285714285</v>
      </c>
      <c r="I9" s="49">
        <f>192/7</f>
        <v>27.428571428571427</v>
      </c>
      <c r="J9" s="49">
        <f>500/7</f>
        <v>71.428571428571431</v>
      </c>
      <c r="K9" s="49">
        <f>150/7</f>
        <v>21.428571428571427</v>
      </c>
      <c r="L9" s="50">
        <f>162/7</f>
        <v>23.142857142857142</v>
      </c>
      <c r="M9" s="63" t="str">
        <f t="shared" si="4"/>
        <v>High Season Manual</v>
      </c>
      <c r="N9" s="39">
        <f>184/7</f>
        <v>26.285714285714285</v>
      </c>
      <c r="O9" s="39">
        <f>192/7</f>
        <v>27.428571428571427</v>
      </c>
      <c r="P9" s="39">
        <f>370/7</f>
        <v>52.857142857142854</v>
      </c>
      <c r="Q9" s="39">
        <f>150/7</f>
        <v>21.428571428571427</v>
      </c>
      <c r="R9" s="40">
        <f>162/7</f>
        <v>23.142857142857142</v>
      </c>
      <c r="S9" s="64" t="str">
        <f t="shared" si="6"/>
        <v>High Season Manual</v>
      </c>
      <c r="T9" s="25" t="s">
        <v>23</v>
      </c>
      <c r="U9" s="25" t="s">
        <v>23</v>
      </c>
      <c r="V9" s="23">
        <f>281/7</f>
        <v>40.142857142857146</v>
      </c>
      <c r="W9" s="23">
        <f>453/7</f>
        <v>64.714285714285708</v>
      </c>
      <c r="X9" s="32" t="s">
        <v>23</v>
      </c>
    </row>
    <row r="10" spans="1:24" x14ac:dyDescent="0.2">
      <c r="A10" s="21" t="str">
        <v>High Season Auto</v>
      </c>
      <c r="B10" s="58">
        <f>318/7</f>
        <v>45.428571428571431</v>
      </c>
      <c r="C10" s="58">
        <f>317/7</f>
        <v>45.285714285714285</v>
      </c>
      <c r="D10" s="58">
        <f>787/7</f>
        <v>112.42857142857143</v>
      </c>
      <c r="E10" s="58">
        <f>263/7</f>
        <v>37.571428571428569</v>
      </c>
      <c r="F10" s="59">
        <f>277/7</f>
        <v>39.571428571428569</v>
      </c>
      <c r="G10" s="65" t="str">
        <f t="shared" si="3"/>
        <v>High Season Auto</v>
      </c>
      <c r="H10" s="51">
        <f>318/7</f>
        <v>45.428571428571431</v>
      </c>
      <c r="I10" s="51">
        <f>317/7</f>
        <v>45.285714285714285</v>
      </c>
      <c r="J10" s="51">
        <f>776/7</f>
        <v>110.85714285714286</v>
      </c>
      <c r="K10" s="51">
        <f>263/7</f>
        <v>37.571428571428569</v>
      </c>
      <c r="L10" s="52">
        <f>264/7</f>
        <v>37.714285714285715</v>
      </c>
      <c r="M10" s="66" t="str">
        <f t="shared" si="4"/>
        <v>High Season Auto</v>
      </c>
      <c r="N10" s="41">
        <f>318/7</f>
        <v>45.428571428571431</v>
      </c>
      <c r="O10" s="41">
        <f>317/7</f>
        <v>45.285714285714285</v>
      </c>
      <c r="P10" s="41">
        <f>776/7</f>
        <v>110.85714285714286</v>
      </c>
      <c r="Q10" s="41">
        <f>263/7</f>
        <v>37.571428571428569</v>
      </c>
      <c r="R10" s="42">
        <f>264/7</f>
        <v>37.714285714285715</v>
      </c>
      <c r="S10" s="67" t="str">
        <f t="shared" si="6"/>
        <v>High Season Auto</v>
      </c>
      <c r="T10" s="26" t="s">
        <v>23</v>
      </c>
      <c r="U10" s="26" t="s">
        <v>23</v>
      </c>
      <c r="V10" s="24">
        <f>308/7</f>
        <v>44</v>
      </c>
      <c r="W10" s="24">
        <f>822/7</f>
        <v>117.42857142857143</v>
      </c>
      <c r="X10" s="33" t="s">
        <v>23</v>
      </c>
    </row>
    <row r="11" spans="1:24" x14ac:dyDescent="0.2">
      <c r="A11" s="17"/>
      <c r="B11" s="68"/>
      <c r="C11" s="68"/>
      <c r="D11" s="68"/>
      <c r="E11" s="68"/>
      <c r="F11" s="69"/>
      <c r="G11" s="70"/>
      <c r="H11" s="71"/>
      <c r="I11" s="71"/>
      <c r="J11" s="71"/>
      <c r="K11" s="71"/>
      <c r="L11" s="72"/>
      <c r="M11" s="73"/>
      <c r="N11" s="74"/>
      <c r="O11" s="74"/>
      <c r="P11" s="74"/>
      <c r="Q11" s="74"/>
      <c r="R11" s="75"/>
      <c r="S11" s="76"/>
      <c r="T11" s="77"/>
      <c r="U11" s="77"/>
      <c r="V11" s="77"/>
      <c r="W11" s="77"/>
      <c r="X11" s="78"/>
    </row>
    <row r="12" spans="1:24" s="16" customFormat="1" thickBot="1" x14ac:dyDescent="0.25">
      <c r="A12" s="36" t="s">
        <v>33</v>
      </c>
      <c r="B12" s="163" t="s">
        <v>18</v>
      </c>
      <c r="C12" s="163"/>
      <c r="D12" s="163"/>
      <c r="E12" s="163"/>
      <c r="F12" s="164"/>
      <c r="G12" s="79" t="str">
        <f t="shared" si="3"/>
        <v>Class</v>
      </c>
      <c r="H12" s="163" t="str">
        <f t="shared" ref="H12:H24" si="8">B12</f>
        <v>Compact (Medium Car)</v>
      </c>
      <c r="I12" s="163"/>
      <c r="J12" s="163"/>
      <c r="K12" s="163"/>
      <c r="L12" s="164"/>
      <c r="M12" s="79" t="str">
        <f t="shared" si="4"/>
        <v>Class</v>
      </c>
      <c r="N12" s="163" t="str">
        <f t="shared" si="5"/>
        <v>Compact (Medium Car)</v>
      </c>
      <c r="O12" s="163"/>
      <c r="P12" s="163"/>
      <c r="Q12" s="163"/>
      <c r="R12" s="164"/>
      <c r="S12" s="79" t="str">
        <f t="shared" si="6"/>
        <v>Class</v>
      </c>
      <c r="T12" s="163" t="str">
        <f t="shared" si="7"/>
        <v>Compact (Medium Car)</v>
      </c>
      <c r="U12" s="163"/>
      <c r="V12" s="163"/>
      <c r="W12" s="163"/>
      <c r="X12" s="164"/>
    </row>
    <row r="13" spans="1:24" x14ac:dyDescent="0.2">
      <c r="A13" s="20" t="str">
        <f>A7</f>
        <v>Low Season Manual</v>
      </c>
      <c r="B13" s="56">
        <f>175/7</f>
        <v>25</v>
      </c>
      <c r="C13" s="56">
        <f>175/7</f>
        <v>25</v>
      </c>
      <c r="D13" s="56">
        <f>356/7</f>
        <v>50.857142857142854</v>
      </c>
      <c r="E13" s="56">
        <f>133/7</f>
        <v>19</v>
      </c>
      <c r="F13" s="57">
        <f>153/7</f>
        <v>21.857142857142858</v>
      </c>
      <c r="G13" s="80" t="str">
        <f t="shared" si="3"/>
        <v>Low Season Manual</v>
      </c>
      <c r="H13" s="49">
        <f>175/7</f>
        <v>25</v>
      </c>
      <c r="I13" s="49">
        <f>180/7</f>
        <v>25.714285714285715</v>
      </c>
      <c r="J13" s="49">
        <f>409/7</f>
        <v>58.428571428571431</v>
      </c>
      <c r="K13" s="49">
        <f>133/7</f>
        <v>19</v>
      </c>
      <c r="L13" s="50">
        <f>153/7</f>
        <v>21.857142857142858</v>
      </c>
      <c r="M13" s="63" t="str">
        <f t="shared" si="4"/>
        <v>Low Season Manual</v>
      </c>
      <c r="N13" s="39">
        <f>175/7</f>
        <v>25</v>
      </c>
      <c r="O13" s="39">
        <f>180/7</f>
        <v>25.714285714285715</v>
      </c>
      <c r="P13" s="39">
        <f>409/7</f>
        <v>58.428571428571431</v>
      </c>
      <c r="Q13" s="39">
        <f>133/7</f>
        <v>19</v>
      </c>
      <c r="R13" s="40">
        <f>249/7</f>
        <v>35.571428571428569</v>
      </c>
      <c r="S13" s="64" t="str">
        <f t="shared" si="6"/>
        <v>Low Season Manual</v>
      </c>
      <c r="T13" s="25" t="s">
        <v>23</v>
      </c>
      <c r="U13" s="25" t="s">
        <v>23</v>
      </c>
      <c r="V13" s="23">
        <f>309/7</f>
        <v>44.142857142857146</v>
      </c>
      <c r="W13" s="23">
        <f>279/7</f>
        <v>39.857142857142854</v>
      </c>
      <c r="X13" s="32" t="s">
        <v>23</v>
      </c>
    </row>
    <row r="14" spans="1:24" x14ac:dyDescent="0.2">
      <c r="A14" s="21" t="str">
        <f t="shared" ref="A14:A16" si="9">A8</f>
        <v>Low Season Auto</v>
      </c>
      <c r="B14" s="58">
        <f>280/7</f>
        <v>40</v>
      </c>
      <c r="C14" s="58">
        <f>280/7</f>
        <v>40</v>
      </c>
      <c r="D14" s="58">
        <f>448/7</f>
        <v>64</v>
      </c>
      <c r="E14" s="58">
        <f>230/7</f>
        <v>32.857142857142854</v>
      </c>
      <c r="F14" s="59">
        <f>238/7</f>
        <v>34</v>
      </c>
      <c r="G14" s="65" t="str">
        <f t="shared" si="3"/>
        <v>Low Season Auto</v>
      </c>
      <c r="H14" s="51">
        <f>280/7</f>
        <v>40</v>
      </c>
      <c r="I14" s="51">
        <f>294/7</f>
        <v>42</v>
      </c>
      <c r="J14" s="51">
        <f>580/7</f>
        <v>82.857142857142861</v>
      </c>
      <c r="K14" s="51">
        <f>230/7</f>
        <v>32.857142857142854</v>
      </c>
      <c r="L14" s="52">
        <f>238/7</f>
        <v>34</v>
      </c>
      <c r="M14" s="66" t="str">
        <f t="shared" si="4"/>
        <v>Low Season Auto</v>
      </c>
      <c r="N14" s="41">
        <f>280/7</f>
        <v>40</v>
      </c>
      <c r="O14" s="41">
        <f>294/7</f>
        <v>42</v>
      </c>
      <c r="P14" s="41">
        <f>580/7</f>
        <v>82.857142857142861</v>
      </c>
      <c r="Q14" s="41">
        <f>230/7</f>
        <v>32.857142857142854</v>
      </c>
      <c r="R14" s="42">
        <f>304/7</f>
        <v>43.428571428571431</v>
      </c>
      <c r="S14" s="67" t="str">
        <f t="shared" si="6"/>
        <v>Low Season Auto</v>
      </c>
      <c r="T14" s="26" t="s">
        <v>23</v>
      </c>
      <c r="U14" s="26" t="s">
        <v>23</v>
      </c>
      <c r="V14" s="24">
        <f>321/7</f>
        <v>45.857142857142854</v>
      </c>
      <c r="W14" s="24">
        <f>474/7</f>
        <v>67.714285714285708</v>
      </c>
      <c r="X14" s="33" t="s">
        <v>23</v>
      </c>
    </row>
    <row r="15" spans="1:24" x14ac:dyDescent="0.2">
      <c r="A15" s="20" t="str">
        <f t="shared" si="9"/>
        <v>High Season Manual</v>
      </c>
      <c r="B15" s="56">
        <f>200/7</f>
        <v>28.571428571428573</v>
      </c>
      <c r="C15" s="56">
        <f>199/7</f>
        <v>28.428571428571427</v>
      </c>
      <c r="D15" s="56">
        <f>473/7</f>
        <v>67.571428571428569</v>
      </c>
      <c r="E15" s="56">
        <f>168/7</f>
        <v>24</v>
      </c>
      <c r="F15" s="57">
        <f>249/7</f>
        <v>35.571428571428569</v>
      </c>
      <c r="G15" s="62" t="str">
        <f t="shared" si="3"/>
        <v>High Season Manual</v>
      </c>
      <c r="H15" s="49">
        <f>200/7</f>
        <v>28.571428571428573</v>
      </c>
      <c r="I15" s="49">
        <f>199/7</f>
        <v>28.428571428571427</v>
      </c>
      <c r="J15" s="49">
        <f>550/7</f>
        <v>78.571428571428569</v>
      </c>
      <c r="K15" s="49">
        <f>168/7</f>
        <v>24</v>
      </c>
      <c r="L15" s="50">
        <f>177/7</f>
        <v>25.285714285714285</v>
      </c>
      <c r="M15" s="63" t="str">
        <f t="shared" si="4"/>
        <v>High Season Manual</v>
      </c>
      <c r="N15" s="39">
        <f>200/7</f>
        <v>28.571428571428573</v>
      </c>
      <c r="O15" s="39">
        <f>199/7</f>
        <v>28.428571428571427</v>
      </c>
      <c r="P15" s="39">
        <f>409/7</f>
        <v>58.428571428571431</v>
      </c>
      <c r="Q15" s="39">
        <f>168/7</f>
        <v>24</v>
      </c>
      <c r="R15" s="40">
        <f>177/7</f>
        <v>25.285714285714285</v>
      </c>
      <c r="S15" s="64" t="str">
        <f t="shared" si="6"/>
        <v>High Season Manual</v>
      </c>
      <c r="T15" s="25" t="s">
        <v>23</v>
      </c>
      <c r="U15" s="25" t="s">
        <v>23</v>
      </c>
      <c r="V15" s="23">
        <f>309/7</f>
        <v>44.142857142857146</v>
      </c>
      <c r="W15" s="23">
        <f>538/7</f>
        <v>76.857142857142861</v>
      </c>
      <c r="X15" s="32" t="s">
        <v>23</v>
      </c>
    </row>
    <row r="16" spans="1:24" x14ac:dyDescent="0.2">
      <c r="A16" s="21" t="str">
        <f t="shared" si="9"/>
        <v>High Season Auto</v>
      </c>
      <c r="B16" s="58">
        <f>345/7</f>
        <v>49.285714285714285</v>
      </c>
      <c r="C16" s="58">
        <f>345/7</f>
        <v>49.285714285714285</v>
      </c>
      <c r="D16" s="58">
        <f>579/7</f>
        <v>82.714285714285708</v>
      </c>
      <c r="E16" s="58">
        <f>350/7</f>
        <v>50</v>
      </c>
      <c r="F16" s="59">
        <f>304/7</f>
        <v>43.428571428571431</v>
      </c>
      <c r="G16" s="65" t="str">
        <f t="shared" si="3"/>
        <v>High Season Auto</v>
      </c>
      <c r="H16" s="51">
        <f>345/7</f>
        <v>49.285714285714285</v>
      </c>
      <c r="I16" s="51">
        <f>345/7</f>
        <v>49.285714285714285</v>
      </c>
      <c r="J16" s="51">
        <f>821/7</f>
        <v>117.28571428571429</v>
      </c>
      <c r="K16" s="51">
        <f>350/7</f>
        <v>50</v>
      </c>
      <c r="L16" s="52">
        <f>290/7</f>
        <v>41.428571428571431</v>
      </c>
      <c r="M16" s="66" t="str">
        <f t="shared" si="4"/>
        <v>High Season Auto</v>
      </c>
      <c r="N16" s="41">
        <f>345/7</f>
        <v>49.285714285714285</v>
      </c>
      <c r="O16" s="41">
        <f>345/7</f>
        <v>49.285714285714285</v>
      </c>
      <c r="P16" s="41">
        <f>813/7</f>
        <v>116.14285714285714</v>
      </c>
      <c r="Q16" s="41">
        <f>350/7</f>
        <v>50</v>
      </c>
      <c r="R16" s="42">
        <f>290/7</f>
        <v>41.428571428571431</v>
      </c>
      <c r="S16" s="67" t="str">
        <f t="shared" si="6"/>
        <v>High Season Auto</v>
      </c>
      <c r="T16" s="26" t="s">
        <v>23</v>
      </c>
      <c r="U16" s="26" t="s">
        <v>23</v>
      </c>
      <c r="V16" s="24">
        <f>321/7</f>
        <v>45.857142857142854</v>
      </c>
      <c r="W16" s="24">
        <f>848/7</f>
        <v>121.14285714285714</v>
      </c>
      <c r="X16" s="33" t="s">
        <v>23</v>
      </c>
    </row>
    <row r="17" spans="1:24" x14ac:dyDescent="0.2">
      <c r="A17" s="17"/>
      <c r="B17" s="68"/>
      <c r="C17" s="68"/>
      <c r="D17" s="68"/>
      <c r="E17" s="68"/>
      <c r="F17" s="69"/>
      <c r="G17" s="70"/>
      <c r="H17" s="71"/>
      <c r="I17" s="71"/>
      <c r="J17" s="71"/>
      <c r="K17" s="71"/>
      <c r="L17" s="72"/>
      <c r="M17" s="73"/>
      <c r="N17" s="74"/>
      <c r="O17" s="74"/>
      <c r="P17" s="74"/>
      <c r="Q17" s="74"/>
      <c r="R17" s="75"/>
      <c r="S17" s="76"/>
      <c r="T17" s="77"/>
      <c r="U17" s="77"/>
      <c r="V17" s="77"/>
      <c r="W17" s="77"/>
      <c r="X17" s="78"/>
    </row>
    <row r="18" spans="1:24" s="16" customFormat="1" thickBot="1" x14ac:dyDescent="0.25">
      <c r="A18" s="36" t="s">
        <v>33</v>
      </c>
      <c r="B18" s="163" t="s">
        <v>5</v>
      </c>
      <c r="C18" s="163"/>
      <c r="D18" s="163"/>
      <c r="E18" s="163"/>
      <c r="F18" s="164"/>
      <c r="G18" s="79" t="str">
        <f t="shared" si="3"/>
        <v>Class</v>
      </c>
      <c r="H18" s="163" t="str">
        <f t="shared" si="8"/>
        <v>SUV</v>
      </c>
      <c r="I18" s="163"/>
      <c r="J18" s="163"/>
      <c r="K18" s="163"/>
      <c r="L18" s="164"/>
      <c r="M18" s="79" t="str">
        <f t="shared" si="4"/>
        <v>Class</v>
      </c>
      <c r="N18" s="163" t="str">
        <f t="shared" si="5"/>
        <v>SUV</v>
      </c>
      <c r="O18" s="163"/>
      <c r="P18" s="163"/>
      <c r="Q18" s="163"/>
      <c r="R18" s="164"/>
      <c r="S18" s="79" t="str">
        <f t="shared" si="6"/>
        <v>Class</v>
      </c>
      <c r="T18" s="163" t="str">
        <f t="shared" si="7"/>
        <v>SUV</v>
      </c>
      <c r="U18" s="163"/>
      <c r="V18" s="163"/>
      <c r="W18" s="163"/>
      <c r="X18" s="164"/>
    </row>
    <row r="19" spans="1:24" x14ac:dyDescent="0.2">
      <c r="A19" s="20" t="str">
        <f>A13</f>
        <v>Low Season Manual</v>
      </c>
      <c r="B19" s="56">
        <f>185/7</f>
        <v>26.428571428571427</v>
      </c>
      <c r="C19" s="56">
        <f>185/7</f>
        <v>26.428571428571427</v>
      </c>
      <c r="D19" s="56">
        <f>376/7</f>
        <v>53.714285714285715</v>
      </c>
      <c r="E19" s="56">
        <f>169/7</f>
        <v>24.142857142857142</v>
      </c>
      <c r="F19" s="57">
        <f>155/7</f>
        <v>22.142857142857142</v>
      </c>
      <c r="G19" s="62" t="str">
        <f t="shared" si="3"/>
        <v>Low Season Manual</v>
      </c>
      <c r="H19" s="49">
        <f>185/7</f>
        <v>26.428571428571427</v>
      </c>
      <c r="I19" s="49">
        <f>190/7</f>
        <v>27.142857142857142</v>
      </c>
      <c r="J19" s="49">
        <f>429/7</f>
        <v>61.285714285714285</v>
      </c>
      <c r="K19" s="49">
        <f>169/7</f>
        <v>24.142857142857142</v>
      </c>
      <c r="L19" s="50">
        <f>155/7</f>
        <v>22.142857142857142</v>
      </c>
      <c r="M19" s="63" t="str">
        <f t="shared" si="4"/>
        <v>Low Season Manual</v>
      </c>
      <c r="N19" s="39">
        <f>185/7</f>
        <v>26.428571428571427</v>
      </c>
      <c r="O19" s="39">
        <f>190/7</f>
        <v>27.142857142857142</v>
      </c>
      <c r="P19" s="39">
        <f>429/7</f>
        <v>61.285714285714285</v>
      </c>
      <c r="Q19" s="39">
        <f>169/7</f>
        <v>24.142857142857142</v>
      </c>
      <c r="R19" s="40">
        <f>253/7</f>
        <v>36.142857142857146</v>
      </c>
      <c r="S19" s="64" t="str">
        <f t="shared" si="6"/>
        <v>Low Season Manual</v>
      </c>
      <c r="T19" s="25" t="s">
        <v>23</v>
      </c>
      <c r="U19" s="25" t="s">
        <v>23</v>
      </c>
      <c r="V19" s="23">
        <f>324/7</f>
        <v>46.285714285714285</v>
      </c>
      <c r="W19" s="23">
        <f>315/7</f>
        <v>45</v>
      </c>
      <c r="X19" s="32" t="s">
        <v>23</v>
      </c>
    </row>
    <row r="20" spans="1:24" x14ac:dyDescent="0.2">
      <c r="A20" s="21" t="str">
        <f t="shared" ref="A20:A22" si="10">A14</f>
        <v>Low Season Auto</v>
      </c>
      <c r="B20" s="58">
        <f>335/7</f>
        <v>47.857142857142854</v>
      </c>
      <c r="C20" s="58">
        <f>334/7</f>
        <v>47.714285714285715</v>
      </c>
      <c r="D20" s="58">
        <f>446/7</f>
        <v>63.714285714285715</v>
      </c>
      <c r="E20" s="58">
        <f>407/7</f>
        <v>58.142857142857146</v>
      </c>
      <c r="F20" s="59">
        <f>239/7</f>
        <v>34.142857142857146</v>
      </c>
      <c r="G20" s="65" t="str">
        <f t="shared" si="3"/>
        <v>Low Season Auto</v>
      </c>
      <c r="H20" s="51">
        <f>335/7</f>
        <v>47.857142857142854</v>
      </c>
      <c r="I20" s="51">
        <f>359/7</f>
        <v>51.285714285714285</v>
      </c>
      <c r="J20" s="51">
        <f>612/7</f>
        <v>87.428571428571431</v>
      </c>
      <c r="K20" s="51">
        <f>407/7</f>
        <v>58.142857142857146</v>
      </c>
      <c r="L20" s="52">
        <f>239/7</f>
        <v>34.142857142857146</v>
      </c>
      <c r="M20" s="66" t="str">
        <f t="shared" si="4"/>
        <v>Low Season Auto</v>
      </c>
      <c r="N20" s="41">
        <f>335/7</f>
        <v>47.857142857142854</v>
      </c>
      <c r="O20" s="41">
        <f>359/7</f>
        <v>51.285714285714285</v>
      </c>
      <c r="P20" s="41">
        <f>644/7</f>
        <v>92</v>
      </c>
      <c r="Q20" s="41">
        <f>407/7</f>
        <v>58.142857142857146</v>
      </c>
      <c r="R20" s="42">
        <f>305/7</f>
        <v>43.571428571428569</v>
      </c>
      <c r="S20" s="67" t="str">
        <f t="shared" si="6"/>
        <v>Low Season Auto</v>
      </c>
      <c r="T20" s="26" t="s">
        <v>23</v>
      </c>
      <c r="U20" s="26" t="s">
        <v>23</v>
      </c>
      <c r="V20" s="24">
        <f>331/7</f>
        <v>47.285714285714285</v>
      </c>
      <c r="W20" s="24">
        <f>596/7</f>
        <v>85.142857142857139</v>
      </c>
      <c r="X20" s="33" t="s">
        <v>23</v>
      </c>
    </row>
    <row r="21" spans="1:24" x14ac:dyDescent="0.2">
      <c r="A21" s="20" t="str">
        <f t="shared" si="10"/>
        <v>High Season Manual</v>
      </c>
      <c r="B21" s="56">
        <f>210/7</f>
        <v>30</v>
      </c>
      <c r="C21" s="56">
        <f>209/7</f>
        <v>29.857142857142858</v>
      </c>
      <c r="D21" s="56">
        <f>487/7</f>
        <v>69.571428571428569</v>
      </c>
      <c r="E21" s="56">
        <f>216/7</f>
        <v>30.857142857142858</v>
      </c>
      <c r="F21" s="57">
        <f>253/7</f>
        <v>36.142857142857146</v>
      </c>
      <c r="G21" s="62" t="str">
        <f t="shared" si="3"/>
        <v>High Season Manual</v>
      </c>
      <c r="H21" s="49">
        <f>210/7</f>
        <v>30</v>
      </c>
      <c r="I21" s="49">
        <f>209/7</f>
        <v>29.857142857142858</v>
      </c>
      <c r="J21" s="49">
        <f>577/7</f>
        <v>82.428571428571431</v>
      </c>
      <c r="K21" s="49">
        <f>216/7</f>
        <v>30.857142857142858</v>
      </c>
      <c r="L21" s="50">
        <f>189/7</f>
        <v>27</v>
      </c>
      <c r="M21" s="63" t="str">
        <f t="shared" si="4"/>
        <v>High Season Manual</v>
      </c>
      <c r="N21" s="39">
        <f>210/7</f>
        <v>30</v>
      </c>
      <c r="O21" s="39">
        <f>209/7</f>
        <v>29.857142857142858</v>
      </c>
      <c r="P21" s="39">
        <f>429/7</f>
        <v>61.285714285714285</v>
      </c>
      <c r="Q21" s="39">
        <f>216/7</f>
        <v>30.857142857142858</v>
      </c>
      <c r="R21" s="40">
        <f>189/7</f>
        <v>27</v>
      </c>
      <c r="S21" s="64" t="str">
        <f t="shared" si="6"/>
        <v>High Season Manual</v>
      </c>
      <c r="T21" s="25" t="s">
        <v>23</v>
      </c>
      <c r="U21" s="25" t="s">
        <v>23</v>
      </c>
      <c r="V21" s="23">
        <f>324/7</f>
        <v>46.285714285714285</v>
      </c>
      <c r="W21" s="23">
        <f>664/7</f>
        <v>94.857142857142861</v>
      </c>
      <c r="X21" s="32" t="s">
        <v>23</v>
      </c>
    </row>
    <row r="22" spans="1:24" x14ac:dyDescent="0.2">
      <c r="A22" s="21" t="str">
        <f t="shared" si="10"/>
        <v>High Season Auto</v>
      </c>
      <c r="B22" s="58">
        <f>405/7</f>
        <v>57.857142857142854</v>
      </c>
      <c r="C22" s="58">
        <f>405/7</f>
        <v>57.857142857142854</v>
      </c>
      <c r="D22" s="58">
        <f>579/7</f>
        <v>82.714285714285708</v>
      </c>
      <c r="E22" s="58">
        <f>456/7</f>
        <v>65.142857142857139</v>
      </c>
      <c r="F22" s="59">
        <f>305/7</f>
        <v>43.571428571428569</v>
      </c>
      <c r="G22" s="65" t="str">
        <f t="shared" si="3"/>
        <v>High Season Auto</v>
      </c>
      <c r="H22" s="51">
        <f>405/7</f>
        <v>57.857142857142854</v>
      </c>
      <c r="I22" s="51">
        <f>405/7</f>
        <v>57.857142857142854</v>
      </c>
      <c r="J22" s="51">
        <f>855/7</f>
        <v>122.14285714285714</v>
      </c>
      <c r="K22" s="51">
        <f>456/7</f>
        <v>65.142857142857139</v>
      </c>
      <c r="L22" s="52">
        <f>305/7</f>
        <v>43.571428571428569</v>
      </c>
      <c r="M22" s="66" t="str">
        <f t="shared" si="4"/>
        <v>High Season Auto</v>
      </c>
      <c r="N22" s="41">
        <f>405/7</f>
        <v>57.857142857142854</v>
      </c>
      <c r="O22" s="41">
        <f>405/7</f>
        <v>57.857142857142854</v>
      </c>
      <c r="P22" s="41">
        <f>896/7</f>
        <v>128</v>
      </c>
      <c r="Q22" s="41">
        <f>456/7</f>
        <v>65.142857142857139</v>
      </c>
      <c r="R22" s="42">
        <f>305/7</f>
        <v>43.571428571428569</v>
      </c>
      <c r="S22" s="67" t="str">
        <f t="shared" si="6"/>
        <v>High Season Auto</v>
      </c>
      <c r="T22" s="26" t="s">
        <v>23</v>
      </c>
      <c r="U22" s="26" t="s">
        <v>23</v>
      </c>
      <c r="V22" s="24">
        <f>331/7</f>
        <v>47.285714285714285</v>
      </c>
      <c r="W22" s="24">
        <f>1077/7</f>
        <v>153.85714285714286</v>
      </c>
      <c r="X22" s="33" t="s">
        <v>23</v>
      </c>
    </row>
    <row r="23" spans="1:24" x14ac:dyDescent="0.2">
      <c r="A23" s="17"/>
      <c r="B23" s="68"/>
      <c r="C23" s="68"/>
      <c r="D23" s="68"/>
      <c r="E23" s="68"/>
      <c r="F23" s="69"/>
      <c r="G23" s="70"/>
      <c r="H23" s="71"/>
      <c r="I23" s="71"/>
      <c r="J23" s="71"/>
      <c r="K23" s="71"/>
      <c r="L23" s="72"/>
      <c r="M23" s="73"/>
      <c r="N23" s="74"/>
      <c r="O23" s="74"/>
      <c r="P23" s="74"/>
      <c r="Q23" s="74"/>
      <c r="R23" s="75"/>
      <c r="S23" s="76"/>
      <c r="T23" s="77"/>
      <c r="U23" s="77"/>
      <c r="V23" s="77"/>
      <c r="W23" s="77"/>
      <c r="X23" s="78"/>
    </row>
    <row r="24" spans="1:24" s="16" customFormat="1" thickBot="1" x14ac:dyDescent="0.25">
      <c r="A24" s="36" t="s">
        <v>33</v>
      </c>
      <c r="B24" s="163" t="s">
        <v>6</v>
      </c>
      <c r="C24" s="163"/>
      <c r="D24" s="163"/>
      <c r="E24" s="163"/>
      <c r="F24" s="164"/>
      <c r="G24" s="79" t="str">
        <f t="shared" si="3"/>
        <v>Class</v>
      </c>
      <c r="H24" s="163" t="str">
        <f t="shared" si="8"/>
        <v>People carrier</v>
      </c>
      <c r="I24" s="163"/>
      <c r="J24" s="163"/>
      <c r="K24" s="163"/>
      <c r="L24" s="164"/>
      <c r="M24" s="79" t="str">
        <f t="shared" si="4"/>
        <v>Class</v>
      </c>
      <c r="N24" s="163" t="str">
        <f t="shared" si="5"/>
        <v>People carrier</v>
      </c>
      <c r="O24" s="163"/>
      <c r="P24" s="163"/>
      <c r="Q24" s="163"/>
      <c r="R24" s="164"/>
      <c r="S24" s="79" t="str">
        <f t="shared" si="6"/>
        <v>Class</v>
      </c>
      <c r="T24" s="163" t="str">
        <f t="shared" si="7"/>
        <v>People carrier</v>
      </c>
      <c r="U24" s="163"/>
      <c r="V24" s="163"/>
      <c r="W24" s="163"/>
      <c r="X24" s="164"/>
    </row>
    <row r="25" spans="1:24" x14ac:dyDescent="0.2">
      <c r="A25" s="20" t="str">
        <f>A19</f>
        <v>Low Season Manual</v>
      </c>
      <c r="B25" s="61" t="s">
        <v>23</v>
      </c>
      <c r="C25" s="56">
        <f>1350/7</f>
        <v>192.85714285714286</v>
      </c>
      <c r="D25" s="61" t="s">
        <v>23</v>
      </c>
      <c r="E25" s="56">
        <f>730/7</f>
        <v>104.28571428571429</v>
      </c>
      <c r="F25" s="61" t="s">
        <v>23</v>
      </c>
      <c r="G25" s="62" t="str">
        <f t="shared" si="3"/>
        <v>Low Season Manual</v>
      </c>
      <c r="H25" s="53" t="s">
        <v>23</v>
      </c>
      <c r="I25" s="55">
        <f>1350/7</f>
        <v>192.85714285714286</v>
      </c>
      <c r="J25" s="53" t="s">
        <v>23</v>
      </c>
      <c r="K25" s="49">
        <f>730/7</f>
        <v>104.28571428571429</v>
      </c>
      <c r="L25" s="53" t="s">
        <v>23</v>
      </c>
      <c r="M25" s="63" t="str">
        <f t="shared" si="4"/>
        <v>Low Season Manual</v>
      </c>
      <c r="N25" s="46" t="s">
        <v>23</v>
      </c>
      <c r="O25" s="39">
        <f>1350/7</f>
        <v>192.85714285714286</v>
      </c>
      <c r="P25" s="46" t="s">
        <v>23</v>
      </c>
      <c r="Q25" s="45">
        <f>730/7</f>
        <v>104.28571428571429</v>
      </c>
      <c r="R25" s="43" t="s">
        <v>23</v>
      </c>
      <c r="S25" s="64" t="str">
        <f t="shared" si="6"/>
        <v>Low Season Manual</v>
      </c>
      <c r="T25" s="25" t="s">
        <v>23</v>
      </c>
      <c r="U25" s="25" t="s">
        <v>23</v>
      </c>
      <c r="V25" s="25" t="s">
        <v>23</v>
      </c>
      <c r="W25" s="23">
        <f>852/7</f>
        <v>121.71428571428571</v>
      </c>
      <c r="X25" s="32" t="s">
        <v>23</v>
      </c>
    </row>
    <row r="26" spans="1:24" x14ac:dyDescent="0.2">
      <c r="A26" s="21" t="str">
        <f t="shared" ref="A26:A28" si="11">A20</f>
        <v>Low Season Auto</v>
      </c>
      <c r="B26" s="58">
        <f>3885/7</f>
        <v>555</v>
      </c>
      <c r="C26" s="58">
        <f>1550/7</f>
        <v>221.42857142857142</v>
      </c>
      <c r="D26" s="58">
        <f>1034/7</f>
        <v>147.71428571428572</v>
      </c>
      <c r="E26" s="58">
        <f>3013/7</f>
        <v>430.42857142857144</v>
      </c>
      <c r="F26" s="59">
        <f>1807/7</f>
        <v>258.14285714285717</v>
      </c>
      <c r="G26" s="65" t="str">
        <f t="shared" si="3"/>
        <v>Low Season Auto</v>
      </c>
      <c r="H26" s="51">
        <f>3885/7</f>
        <v>555</v>
      </c>
      <c r="I26" s="51">
        <f>1550/7</f>
        <v>221.42857142857142</v>
      </c>
      <c r="J26" s="51">
        <f>1256/7</f>
        <v>179.42857142857142</v>
      </c>
      <c r="K26" s="51">
        <f>3013/7</f>
        <v>430.42857142857144</v>
      </c>
      <c r="L26" s="54" t="s">
        <v>23</v>
      </c>
      <c r="M26" s="66" t="str">
        <f t="shared" si="4"/>
        <v>Low Season Auto</v>
      </c>
      <c r="N26" s="41">
        <f>3885/7</f>
        <v>555</v>
      </c>
      <c r="O26" s="41">
        <f>1550/7</f>
        <v>221.42857142857142</v>
      </c>
      <c r="P26" s="47">
        <f>1256/7</f>
        <v>179.42857142857142</v>
      </c>
      <c r="Q26" s="41">
        <f>3013/7</f>
        <v>430.42857142857144</v>
      </c>
      <c r="R26" s="44" t="s">
        <v>23</v>
      </c>
      <c r="S26" s="67" t="str">
        <f t="shared" si="6"/>
        <v>Low Season Auto</v>
      </c>
      <c r="T26" s="26" t="s">
        <v>23</v>
      </c>
      <c r="U26" s="26" t="s">
        <v>23</v>
      </c>
      <c r="V26" s="24">
        <f>592/7</f>
        <v>84.571428571428569</v>
      </c>
      <c r="W26" s="24">
        <f>1737/7</f>
        <v>248.14285714285714</v>
      </c>
      <c r="X26" s="33" t="s">
        <v>23</v>
      </c>
    </row>
    <row r="27" spans="1:24" x14ac:dyDescent="0.2">
      <c r="A27" s="20" t="str">
        <f t="shared" si="11"/>
        <v>High Season Manual</v>
      </c>
      <c r="B27" s="61" t="s">
        <v>23</v>
      </c>
      <c r="C27" s="56">
        <f>1703/7</f>
        <v>243.28571428571428</v>
      </c>
      <c r="D27" s="61" t="s">
        <v>23</v>
      </c>
      <c r="E27" s="56">
        <f>644/7</f>
        <v>92</v>
      </c>
      <c r="F27" s="57">
        <f>2374/7</f>
        <v>339.14285714285717</v>
      </c>
      <c r="G27" s="62" t="str">
        <f t="shared" si="3"/>
        <v>High Season Manual</v>
      </c>
      <c r="H27" s="53" t="s">
        <v>23</v>
      </c>
      <c r="I27" s="49">
        <f>1703/7</f>
        <v>243.28571428571428</v>
      </c>
      <c r="J27" s="53" t="s">
        <v>23</v>
      </c>
      <c r="K27" s="49">
        <f>644/7</f>
        <v>92</v>
      </c>
      <c r="L27" s="53" t="s">
        <v>23</v>
      </c>
      <c r="M27" s="63" t="str">
        <f t="shared" si="4"/>
        <v>High Season Manual</v>
      </c>
      <c r="N27" s="48" t="s">
        <v>23</v>
      </c>
      <c r="O27" s="39">
        <f>1703/7</f>
        <v>243.28571428571428</v>
      </c>
      <c r="P27" s="48" t="s">
        <v>23</v>
      </c>
      <c r="Q27" s="39">
        <f>644/7</f>
        <v>92</v>
      </c>
      <c r="R27" s="48" t="s">
        <v>23</v>
      </c>
      <c r="S27" s="64" t="str">
        <f t="shared" si="6"/>
        <v>High Season Manual</v>
      </c>
      <c r="T27" s="25" t="s">
        <v>23</v>
      </c>
      <c r="U27" s="25" t="s">
        <v>23</v>
      </c>
      <c r="V27" s="25" t="s">
        <v>23</v>
      </c>
      <c r="W27" s="23">
        <f>1218/7</f>
        <v>174</v>
      </c>
      <c r="X27" s="32" t="s">
        <v>23</v>
      </c>
    </row>
    <row r="28" spans="1:24" x14ac:dyDescent="0.2">
      <c r="A28" s="21" t="str">
        <f t="shared" si="11"/>
        <v>High Season Auto</v>
      </c>
      <c r="B28" s="58">
        <f>2100/7</f>
        <v>300</v>
      </c>
      <c r="C28" s="58">
        <f>2032/7</f>
        <v>290.28571428571428</v>
      </c>
      <c r="D28" s="58">
        <f>1340/7</f>
        <v>191.42857142857142</v>
      </c>
      <c r="E28" s="58">
        <f>1461/7</f>
        <v>208.71428571428572</v>
      </c>
      <c r="F28" s="60" t="s">
        <v>23</v>
      </c>
      <c r="G28" s="65" t="str">
        <f t="shared" si="3"/>
        <v>High Season Auto</v>
      </c>
      <c r="H28" s="51">
        <f>2100/7</f>
        <v>300</v>
      </c>
      <c r="I28" s="51">
        <f>2032/7</f>
        <v>290.28571428571428</v>
      </c>
      <c r="J28" s="51">
        <f>1350/7</f>
        <v>192.85714285714286</v>
      </c>
      <c r="K28" s="51">
        <f>1461/7</f>
        <v>208.71428571428572</v>
      </c>
      <c r="L28" s="54" t="s">
        <v>23</v>
      </c>
      <c r="M28" s="66" t="str">
        <f t="shared" si="4"/>
        <v>High Season Auto</v>
      </c>
      <c r="N28" s="41">
        <f>2100/7</f>
        <v>300</v>
      </c>
      <c r="O28" s="41">
        <f>2032/7</f>
        <v>290.28571428571428</v>
      </c>
      <c r="P28" s="41">
        <f>1758/7</f>
        <v>251.14285714285714</v>
      </c>
      <c r="Q28" s="41">
        <f>1461/7</f>
        <v>208.71428571428572</v>
      </c>
      <c r="R28" s="44" t="s">
        <v>23</v>
      </c>
      <c r="S28" s="67" t="str">
        <f t="shared" si="6"/>
        <v>High Season Auto</v>
      </c>
      <c r="T28" s="26" t="s">
        <v>23</v>
      </c>
      <c r="U28" s="26" t="s">
        <v>23</v>
      </c>
      <c r="V28" s="24">
        <f>529/7</f>
        <v>75.571428571428569</v>
      </c>
      <c r="W28" s="24">
        <f>2009/7</f>
        <v>287</v>
      </c>
      <c r="X28" s="33" t="s">
        <v>23</v>
      </c>
    </row>
    <row r="29" spans="1:24" x14ac:dyDescent="0.2">
      <c r="A29" s="17"/>
      <c r="B29" s="17"/>
      <c r="C29" s="17"/>
      <c r="D29" s="17"/>
      <c r="E29" s="17"/>
      <c r="F29" s="27"/>
      <c r="G29" s="28"/>
      <c r="H29" s="18"/>
      <c r="I29" s="18"/>
      <c r="J29" s="18"/>
      <c r="K29" s="18"/>
      <c r="L29" s="29"/>
      <c r="M29" s="30"/>
      <c r="N29" s="19"/>
      <c r="O29" s="19"/>
      <c r="P29" s="19"/>
      <c r="Q29" s="19"/>
      <c r="R29" s="31"/>
      <c r="S29" s="34"/>
      <c r="T29" s="22"/>
      <c r="U29" s="22"/>
      <c r="V29" s="22"/>
      <c r="W29" s="22"/>
      <c r="X29" s="35"/>
    </row>
    <row r="31" spans="1:24" x14ac:dyDescent="0.2">
      <c r="A31" s="127" t="s">
        <v>11</v>
      </c>
      <c r="B31" s="128" t="s">
        <v>14</v>
      </c>
    </row>
    <row r="33" spans="1:12" x14ac:dyDescent="0.2">
      <c r="A33" s="153" t="s">
        <v>44</v>
      </c>
      <c r="B33" s="155"/>
    </row>
    <row r="34" spans="1:12" ht="34" x14ac:dyDescent="0.2">
      <c r="A34" s="123" t="s">
        <v>12</v>
      </c>
      <c r="B34" s="124" t="s">
        <v>21</v>
      </c>
    </row>
    <row r="35" spans="1:12" ht="51" x14ac:dyDescent="0.2">
      <c r="A35" s="125" t="s">
        <v>13</v>
      </c>
      <c r="B35" s="126" t="s">
        <v>15</v>
      </c>
    </row>
    <row r="36" spans="1:12" x14ac:dyDescent="0.2">
      <c r="A36" s="2"/>
      <c r="B36" s="2"/>
    </row>
    <row r="37" spans="1:12" x14ac:dyDescent="0.2">
      <c r="A37" s="153" t="s">
        <v>19</v>
      </c>
      <c r="B37" s="154"/>
      <c r="C37" s="154"/>
      <c r="D37" s="154"/>
      <c r="E37" s="154"/>
      <c r="F37" s="154"/>
      <c r="G37" s="154"/>
      <c r="H37" s="154"/>
      <c r="I37" s="154"/>
      <c r="J37" s="154"/>
      <c r="K37" s="154"/>
      <c r="L37" s="155"/>
    </row>
    <row r="38" spans="1:12" ht="16" customHeight="1" x14ac:dyDescent="0.2">
      <c r="A38" s="132">
        <v>1</v>
      </c>
      <c r="B38" s="160" t="s">
        <v>39</v>
      </c>
      <c r="C38" s="160"/>
      <c r="D38" s="160"/>
      <c r="E38" s="160"/>
      <c r="F38" s="160"/>
      <c r="G38" s="160"/>
      <c r="H38" s="160"/>
      <c r="I38" s="160"/>
      <c r="J38" s="160"/>
      <c r="K38" s="160"/>
      <c r="L38" s="161"/>
    </row>
    <row r="39" spans="1:12" x14ac:dyDescent="0.2">
      <c r="A39" s="133"/>
      <c r="L39" s="112"/>
    </row>
    <row r="40" spans="1:12" x14ac:dyDescent="0.2">
      <c r="A40" s="159">
        <v>2</v>
      </c>
      <c r="B40" s="145" t="s">
        <v>35</v>
      </c>
      <c r="C40" s="145"/>
      <c r="D40" s="145"/>
      <c r="E40" s="145"/>
      <c r="F40" s="145"/>
      <c r="G40" s="145"/>
      <c r="H40" s="145"/>
      <c r="I40" s="145"/>
      <c r="J40" s="145"/>
      <c r="L40" s="112"/>
    </row>
    <row r="41" spans="1:12" x14ac:dyDescent="0.2">
      <c r="A41" s="159"/>
      <c r="B41" s="145"/>
      <c r="C41" s="145"/>
      <c r="D41" s="145"/>
      <c r="E41" s="145"/>
      <c r="F41" s="145"/>
      <c r="G41" s="145"/>
      <c r="H41" s="145"/>
      <c r="I41" s="145"/>
      <c r="J41" s="145"/>
      <c r="L41" s="112"/>
    </row>
    <row r="42" spans="1:12" x14ac:dyDescent="0.2">
      <c r="A42" s="133"/>
      <c r="L42" s="112"/>
    </row>
    <row r="43" spans="1:12" ht="16" customHeight="1" x14ac:dyDescent="0.2">
      <c r="A43" s="159">
        <v>3</v>
      </c>
      <c r="B43" s="145" t="s">
        <v>36</v>
      </c>
      <c r="C43" s="145"/>
      <c r="D43" s="145"/>
      <c r="E43" s="145"/>
      <c r="F43" s="145"/>
      <c r="G43" s="145"/>
      <c r="H43" s="145"/>
      <c r="I43" s="145"/>
      <c r="J43" s="145"/>
      <c r="K43" s="145"/>
      <c r="L43" s="156"/>
    </row>
    <row r="44" spans="1:12" x14ac:dyDescent="0.2">
      <c r="A44" s="159"/>
      <c r="B44" s="145"/>
      <c r="C44" s="145"/>
      <c r="D44" s="145"/>
      <c r="E44" s="145"/>
      <c r="F44" s="145"/>
      <c r="G44" s="145"/>
      <c r="H44" s="145"/>
      <c r="I44" s="145"/>
      <c r="J44" s="145"/>
      <c r="K44" s="145"/>
      <c r="L44" s="156"/>
    </row>
    <row r="45" spans="1:12" ht="16" customHeight="1" x14ac:dyDescent="0.2">
      <c r="A45" s="133"/>
      <c r="B45" s="120"/>
      <c r="C45" s="120"/>
      <c r="D45" s="120"/>
      <c r="E45" s="120"/>
      <c r="F45" s="120"/>
      <c r="G45" s="120"/>
      <c r="H45" s="120"/>
      <c r="I45" s="120"/>
      <c r="J45" s="120"/>
      <c r="K45" s="120"/>
      <c r="L45" s="131"/>
    </row>
    <row r="46" spans="1:12" ht="34" customHeight="1" x14ac:dyDescent="0.2">
      <c r="A46" s="133">
        <v>4</v>
      </c>
      <c r="B46" s="145" t="s">
        <v>37</v>
      </c>
      <c r="C46" s="145"/>
      <c r="D46" s="145"/>
      <c r="E46" s="145"/>
      <c r="F46" s="145"/>
      <c r="G46" s="145"/>
      <c r="H46" s="145"/>
      <c r="I46" s="145"/>
      <c r="J46" s="145"/>
      <c r="K46" s="145"/>
      <c r="L46" s="156"/>
    </row>
    <row r="47" spans="1:12" ht="16" customHeight="1" x14ac:dyDescent="0.2">
      <c r="A47" s="133"/>
      <c r="L47" s="112"/>
    </row>
    <row r="48" spans="1:12" ht="20" customHeight="1" x14ac:dyDescent="0.2">
      <c r="A48" s="134">
        <v>5</v>
      </c>
      <c r="B48" s="157" t="s">
        <v>38</v>
      </c>
      <c r="C48" s="157"/>
      <c r="D48" s="157"/>
      <c r="E48" s="157"/>
      <c r="F48" s="157"/>
      <c r="G48" s="157"/>
      <c r="H48" s="157"/>
      <c r="I48" s="157"/>
      <c r="J48" s="157"/>
      <c r="K48" s="157"/>
      <c r="L48" s="158"/>
    </row>
  </sheetData>
  <mergeCells count="30">
    <mergeCell ref="T24:X24"/>
    <mergeCell ref="A33:B33"/>
    <mergeCell ref="M4:R4"/>
    <mergeCell ref="N6:R6"/>
    <mergeCell ref="N12:R12"/>
    <mergeCell ref="N18:R18"/>
    <mergeCell ref="N24:R24"/>
    <mergeCell ref="A37:L37"/>
    <mergeCell ref="A1:X3"/>
    <mergeCell ref="B18:F18"/>
    <mergeCell ref="B24:F24"/>
    <mergeCell ref="G4:L4"/>
    <mergeCell ref="H6:L6"/>
    <mergeCell ref="H12:L12"/>
    <mergeCell ref="H18:L18"/>
    <mergeCell ref="H24:L24"/>
    <mergeCell ref="A4:F4"/>
    <mergeCell ref="B6:F6"/>
    <mergeCell ref="B12:F12"/>
    <mergeCell ref="S4:X4"/>
    <mergeCell ref="T6:X6"/>
    <mergeCell ref="T12:X12"/>
    <mergeCell ref="T18:X18"/>
    <mergeCell ref="B43:L44"/>
    <mergeCell ref="B48:L48"/>
    <mergeCell ref="A40:A41"/>
    <mergeCell ref="A43:A44"/>
    <mergeCell ref="B38:L38"/>
    <mergeCell ref="B40:J41"/>
    <mergeCell ref="B46:L46"/>
  </mergeCells>
  <pageMargins left="0.7" right="0.7" top="0.75" bottom="0.75" header="0.3" footer="0.3"/>
  <ignoredErrors>
    <ignoredError sqref="P8 R21 P20 P14 V8 V14 V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A3FA-F2FD-A446-9F30-1B3C2BD5DA3B}">
  <dimension ref="A1:P83"/>
  <sheetViews>
    <sheetView topLeftCell="A68" zoomScaleNormal="100" workbookViewId="0">
      <selection activeCell="A71" sqref="A71:O71"/>
    </sheetView>
  </sheetViews>
  <sheetFormatPr baseColWidth="10" defaultRowHeight="16" x14ac:dyDescent="0.2"/>
  <cols>
    <col min="1" max="1" width="21.1640625" customWidth="1"/>
    <col min="2" max="2" width="27" customWidth="1"/>
    <col min="3" max="3" width="21" customWidth="1"/>
    <col min="4" max="4" width="24.83203125" customWidth="1"/>
    <col min="5" max="5" width="18.6640625" customWidth="1"/>
    <col min="6" max="6" width="17.6640625" customWidth="1"/>
    <col min="7" max="7" width="20.1640625" customWidth="1"/>
    <col min="8" max="8" width="18.6640625" customWidth="1"/>
    <col min="9" max="9" width="17.6640625" customWidth="1"/>
    <col min="10" max="10" width="16.33203125" customWidth="1"/>
    <col min="11" max="11" width="17.1640625" customWidth="1"/>
    <col min="12" max="12" width="16.5" customWidth="1"/>
    <col min="13" max="13" width="14.83203125" customWidth="1"/>
    <col min="14" max="14" width="15.1640625" customWidth="1"/>
    <col min="15" max="15" width="23.6640625" customWidth="1"/>
    <col min="16" max="16" width="33" bestFit="1" customWidth="1"/>
  </cols>
  <sheetData>
    <row r="1" spans="1:16" ht="16" customHeight="1" x14ac:dyDescent="0.2">
      <c r="A1" s="179" t="s">
        <v>48</v>
      </c>
      <c r="B1" s="179"/>
      <c r="C1" s="179"/>
      <c r="D1" s="179"/>
      <c r="E1" s="179"/>
      <c r="F1" s="179"/>
      <c r="G1" s="179"/>
      <c r="H1" s="179"/>
      <c r="I1" s="179"/>
      <c r="J1" s="179"/>
      <c r="K1" s="179"/>
      <c r="L1" s="179"/>
      <c r="M1" s="179"/>
      <c r="N1" s="179"/>
      <c r="O1" s="179"/>
      <c r="P1" s="179"/>
    </row>
    <row r="2" spans="1:16" ht="16" customHeight="1" x14ac:dyDescent="0.2">
      <c r="A2" s="180" t="s">
        <v>49</v>
      </c>
      <c r="B2" s="180"/>
      <c r="C2" s="180"/>
      <c r="D2" s="180"/>
      <c r="E2" s="180"/>
      <c r="F2" s="180"/>
      <c r="G2" s="180"/>
      <c r="H2" s="180"/>
      <c r="I2" s="180"/>
      <c r="J2" s="180"/>
      <c r="K2" s="180"/>
      <c r="L2" s="180"/>
      <c r="M2" s="180"/>
      <c r="N2" s="180"/>
      <c r="O2" s="180"/>
      <c r="P2" s="180"/>
    </row>
    <row r="3" spans="1:16" ht="16" customHeight="1" x14ac:dyDescent="0.2">
      <c r="A3" s="181" t="s">
        <v>50</v>
      </c>
      <c r="B3" s="181"/>
      <c r="C3" s="181"/>
      <c r="D3" s="181"/>
      <c r="E3" s="181"/>
      <c r="F3" s="181"/>
      <c r="G3" s="181"/>
      <c r="H3" s="181"/>
      <c r="I3" s="181"/>
      <c r="J3" s="181"/>
      <c r="K3" s="181"/>
      <c r="L3" s="181"/>
      <c r="M3" s="181"/>
      <c r="N3" s="181"/>
      <c r="O3" s="181"/>
      <c r="P3" s="181"/>
    </row>
    <row r="4" spans="1:16" ht="28" x14ac:dyDescent="0.2">
      <c r="A4" s="89" t="s">
        <v>0</v>
      </c>
      <c r="B4" s="89" t="s">
        <v>51</v>
      </c>
      <c r="C4" s="89" t="s">
        <v>52</v>
      </c>
      <c r="D4" s="89" t="s">
        <v>53</v>
      </c>
      <c r="E4" s="89" t="s">
        <v>54</v>
      </c>
      <c r="F4" s="89" t="s">
        <v>55</v>
      </c>
      <c r="G4" s="89" t="s">
        <v>56</v>
      </c>
      <c r="H4" s="89" t="s">
        <v>57</v>
      </c>
      <c r="I4" s="89" t="s">
        <v>58</v>
      </c>
      <c r="J4" s="89" t="s">
        <v>59</v>
      </c>
      <c r="K4" s="89" t="s">
        <v>60</v>
      </c>
      <c r="L4" s="89" t="s">
        <v>61</v>
      </c>
      <c r="M4" s="89" t="s">
        <v>62</v>
      </c>
      <c r="N4" s="89" t="s">
        <v>63</v>
      </c>
      <c r="O4" s="89" t="s">
        <v>64</v>
      </c>
      <c r="P4" s="98" t="s">
        <v>47</v>
      </c>
    </row>
    <row r="5" spans="1:16" ht="41" customHeight="1" x14ac:dyDescent="0.2">
      <c r="A5" s="90" t="s">
        <v>2</v>
      </c>
      <c r="B5" s="91" t="s">
        <v>17</v>
      </c>
      <c r="C5" s="92" t="s">
        <v>8</v>
      </c>
      <c r="D5" s="93">
        <f>'Competitor''s Rate'!B7</f>
        <v>22.142857142857142</v>
      </c>
      <c r="E5" s="93">
        <f>'Competitor''s Rate'!C7</f>
        <v>22.857142857142858</v>
      </c>
      <c r="F5" s="93">
        <f>'Competitor''s Rate'!D7</f>
        <v>38.571428571428569</v>
      </c>
      <c r="G5" s="93">
        <f>'Competitor''s Rate'!E7</f>
        <v>16.571428571428573</v>
      </c>
      <c r="H5" s="93">
        <f>'Competitor''s Rate'!F7</f>
        <v>20</v>
      </c>
      <c r="I5" s="94">
        <f t="shared" ref="I5:I68" si="0">IFERROR(AVERAGEIF(D5:H5,"&gt;"&amp;0),"-")</f>
        <v>24.028571428571428</v>
      </c>
      <c r="J5" s="94">
        <f t="shared" ref="J5:J10" si="1">IFERROR(_xlfn.MINIFS(D5:H5,D5:H5,"&gt;"&amp;0),"-")</f>
        <v>16.571428571428573</v>
      </c>
      <c r="K5" s="94">
        <f t="shared" ref="K5:K68" si="2">IFERROR(MAX(D5:H5),"-")</f>
        <v>38.571428571428569</v>
      </c>
      <c r="L5" s="93">
        <f>IFERROR(_xlfn.XLOOKUP(P5,'Europcar rates'!G:G,'Europcar rates'!C:C),"-")</f>
        <v>21.142857142857142</v>
      </c>
      <c r="M5" s="100">
        <f>IFERROR((L5-I5)/I5,"-")</f>
        <v>-0.12009512485136743</v>
      </c>
      <c r="N5" s="96" t="str">
        <f>IFERROR(IF(L5&lt;=I5*0.9,"✅ Below Market",IF(L5&lt;=I5*1.1,"🟡 At Market","🔴 Above Market")),"-")</f>
        <v>✅ Below Market</v>
      </c>
      <c r="O5" s="97" t="str">
        <f>IF(L5="-","See opportunity analysis on dashboard",IF(L5&lt;=I5*0.9,"Hold — Room to Increase Rate",IF(L5&lt;=I5*1.1,"Hold — Well Positioned","Review Rate — Above Market")))</f>
        <v>Hold — Room to Increase Rate</v>
      </c>
      <c r="P5" t="str">
        <f>'Europcar rates'!G4</f>
        <v>Dublin Airport | Economy (Small Car)</v>
      </c>
    </row>
    <row r="6" spans="1:16" ht="44" customHeight="1" x14ac:dyDescent="0.2">
      <c r="A6" s="90" t="s">
        <v>2</v>
      </c>
      <c r="B6" s="91" t="s">
        <v>17</v>
      </c>
      <c r="C6" s="92" t="s">
        <v>9</v>
      </c>
      <c r="D6" s="93">
        <f>'Competitor''s Rate'!B8</f>
        <v>37.142857142857146</v>
      </c>
      <c r="E6" s="93">
        <f>'Competitor''s Rate'!C8</f>
        <v>37.142857142857146</v>
      </c>
      <c r="F6" s="93">
        <f>'Competitor''s Rate'!D8</f>
        <v>126.71428571428571</v>
      </c>
      <c r="G6" s="93">
        <f>'Competitor''s Rate'!E8</f>
        <v>30</v>
      </c>
      <c r="H6" s="93">
        <f>'Competitor''s Rate'!F8</f>
        <v>31</v>
      </c>
      <c r="I6" s="94">
        <f t="shared" si="0"/>
        <v>52.4</v>
      </c>
      <c r="J6" s="94">
        <f t="shared" si="1"/>
        <v>30</v>
      </c>
      <c r="K6" s="94">
        <f t="shared" si="2"/>
        <v>126.71428571428571</v>
      </c>
      <c r="L6" s="93">
        <f>IFERROR(_xlfn.XLOOKUP(P6,'Europcar rates'!G:G,'Europcar rates'!D:D),"-")</f>
        <v>35.428571428571431</v>
      </c>
      <c r="M6" s="95">
        <f t="shared" ref="M6:M68" si="3">IFERROR((L6-I6)/I6,"-")</f>
        <v>-0.32388222464558336</v>
      </c>
      <c r="N6" s="96" t="str">
        <f t="shared" ref="N6:N16" si="4">IFERROR(IF(L6&lt;=I6*0.9,"✅ Below Market",IF(L6&lt;=I6*1.1,"🟡 At Market","🔴 Above Market")),"-")</f>
        <v>✅ Below Market</v>
      </c>
      <c r="O6" s="97" t="str">
        <f t="shared" ref="O6:O68" si="5">IF(L6="-","See opportunity analysis on dashboard",IF(L6&lt;=I6*0.9,"Hold — Room to Increase Rate",IF(L6&lt;=I6*1.1,"Hold — Well Positioned","Review Rate — Above Market")))</f>
        <v>Hold — Room to Increase Rate</v>
      </c>
      <c r="P6" t="str">
        <f>'Europcar rates'!G4</f>
        <v>Dublin Airport | Economy (Small Car)</v>
      </c>
    </row>
    <row r="7" spans="1:16" ht="51" customHeight="1" x14ac:dyDescent="0.2">
      <c r="A7" s="90" t="s">
        <v>2</v>
      </c>
      <c r="B7" s="91" t="s">
        <v>17</v>
      </c>
      <c r="C7" s="92" t="s">
        <v>7</v>
      </c>
      <c r="D7" s="93">
        <f>'Competitor''s Rate'!B9</f>
        <v>26.285714285714285</v>
      </c>
      <c r="E7" s="93">
        <f>'Competitor''s Rate'!C9</f>
        <v>27.428571428571427</v>
      </c>
      <c r="F7" s="93">
        <f>'Competitor''s Rate'!D9</f>
        <v>50</v>
      </c>
      <c r="G7" s="93">
        <f>'Competitor''s Rate'!E9</f>
        <v>21.428571428571427</v>
      </c>
      <c r="H7" s="93">
        <f>'Competitor''s Rate'!F9</f>
        <v>32.571428571428569</v>
      </c>
      <c r="I7" s="94">
        <f t="shared" si="0"/>
        <v>31.542857142857144</v>
      </c>
      <c r="J7" s="94">
        <f t="shared" si="1"/>
        <v>21.428571428571427</v>
      </c>
      <c r="K7" s="94">
        <f t="shared" si="2"/>
        <v>50</v>
      </c>
      <c r="L7" s="93">
        <f>IFERROR(_xlfn.XLOOKUP(P7,'Europcar rates'!G:G,'Europcar rates'!E:E),"-")</f>
        <v>25.142857142857142</v>
      </c>
      <c r="M7" s="95">
        <f t="shared" si="3"/>
        <v>-0.20289855072463775</v>
      </c>
      <c r="N7" s="96" t="str">
        <f t="shared" si="4"/>
        <v>✅ Below Market</v>
      </c>
      <c r="O7" s="97" t="str">
        <f t="shared" si="5"/>
        <v>Hold — Room to Increase Rate</v>
      </c>
      <c r="P7" t="str">
        <f>'Europcar rates'!G4</f>
        <v>Dublin Airport | Economy (Small Car)</v>
      </c>
    </row>
    <row r="8" spans="1:16" ht="53" customHeight="1" x14ac:dyDescent="0.2">
      <c r="A8" s="90" t="s">
        <v>2</v>
      </c>
      <c r="B8" s="91" t="s">
        <v>17</v>
      </c>
      <c r="C8" s="92" t="s">
        <v>10</v>
      </c>
      <c r="D8" s="93">
        <f>'Competitor''s Rate'!B10</f>
        <v>45.428571428571431</v>
      </c>
      <c r="E8" s="93">
        <f>'Competitor''s Rate'!C10</f>
        <v>45.285714285714285</v>
      </c>
      <c r="F8" s="93">
        <f>'Competitor''s Rate'!D10</f>
        <v>112.42857142857143</v>
      </c>
      <c r="G8" s="93">
        <f>'Competitor''s Rate'!E10</f>
        <v>37.571428571428569</v>
      </c>
      <c r="H8" s="93">
        <f>'Competitor''s Rate'!F10</f>
        <v>39.571428571428569</v>
      </c>
      <c r="I8" s="94">
        <f t="shared" si="0"/>
        <v>56.057142857142857</v>
      </c>
      <c r="J8" s="94">
        <f t="shared" si="1"/>
        <v>37.571428571428569</v>
      </c>
      <c r="K8" s="94">
        <f t="shared" si="2"/>
        <v>112.42857142857143</v>
      </c>
      <c r="L8" s="93">
        <f>IFERROR(_xlfn.XLOOKUP(P8,'Europcar rates'!G:G,'Europcar rates'!F:F),"-")</f>
        <v>43.285714285714285</v>
      </c>
      <c r="M8" s="95">
        <f t="shared" si="3"/>
        <v>-0.22782874617737003</v>
      </c>
      <c r="N8" s="96" t="str">
        <f t="shared" si="4"/>
        <v>✅ Below Market</v>
      </c>
      <c r="O8" s="97" t="str">
        <f t="shared" si="5"/>
        <v>Hold — Room to Increase Rate</v>
      </c>
      <c r="P8" t="str">
        <f>'Europcar rates'!G4</f>
        <v>Dublin Airport | Economy (Small Car)</v>
      </c>
    </row>
    <row r="9" spans="1:16" ht="37" customHeight="1" x14ac:dyDescent="0.2">
      <c r="A9" s="90" t="s">
        <v>2</v>
      </c>
      <c r="B9" s="91" t="s">
        <v>18</v>
      </c>
      <c r="C9" s="92" t="s">
        <v>8</v>
      </c>
      <c r="D9" s="93">
        <f>'Competitor''s Rate'!B13</f>
        <v>25</v>
      </c>
      <c r="E9" s="93">
        <f>'Competitor''s Rate'!C13</f>
        <v>25</v>
      </c>
      <c r="F9" s="93">
        <f>'Competitor''s Rate'!D13</f>
        <v>50.857142857142854</v>
      </c>
      <c r="G9" s="93">
        <f>'Competitor''s Rate'!E13</f>
        <v>19</v>
      </c>
      <c r="H9" s="93">
        <f>'Competitor''s Rate'!F13</f>
        <v>21.857142857142858</v>
      </c>
      <c r="I9" s="94">
        <f t="shared" si="0"/>
        <v>28.342857142857145</v>
      </c>
      <c r="J9" s="94">
        <f t="shared" si="1"/>
        <v>19</v>
      </c>
      <c r="K9" s="94">
        <f t="shared" si="2"/>
        <v>50.857142857142854</v>
      </c>
      <c r="L9" s="93">
        <f>IFERROR(_xlfn.XLOOKUP(P9,'Europcar rates'!G:G,'Europcar rates'!C:C),"-")</f>
        <v>23.857142857142858</v>
      </c>
      <c r="M9" s="95">
        <f>IFERROR((L9-I9)/I9,"-")</f>
        <v>-0.15826612903225812</v>
      </c>
      <c r="N9" s="96" t="str">
        <f>IFERROR(IF(L9&lt;=I9*0.9,"✅ Below Market",IF(L9&lt;=I9*1.1,"🟡 At Market","🔴 Above Market")),"-")</f>
        <v>✅ Below Market</v>
      </c>
      <c r="O9" s="97" t="str">
        <f t="shared" si="5"/>
        <v>Hold — Room to Increase Rate</v>
      </c>
      <c r="P9" t="str">
        <f>'Europcar rates'!G5</f>
        <v>Dublin Airport | Compact (Medium Car)</v>
      </c>
    </row>
    <row r="10" spans="1:16" ht="46" customHeight="1" x14ac:dyDescent="0.2">
      <c r="A10" s="90" t="s">
        <v>2</v>
      </c>
      <c r="B10" s="91" t="s">
        <v>18</v>
      </c>
      <c r="C10" s="92" t="s">
        <v>9</v>
      </c>
      <c r="D10" s="93">
        <f>'Competitor''s Rate'!B14</f>
        <v>40</v>
      </c>
      <c r="E10" s="93">
        <f>'Competitor''s Rate'!C14</f>
        <v>40</v>
      </c>
      <c r="F10" s="93">
        <f>'Competitor''s Rate'!D14</f>
        <v>64</v>
      </c>
      <c r="G10" s="93">
        <f>'Competitor''s Rate'!E14</f>
        <v>32.857142857142854</v>
      </c>
      <c r="H10" s="93">
        <f>'Competitor''s Rate'!F14</f>
        <v>34</v>
      </c>
      <c r="I10" s="94">
        <f t="shared" si="0"/>
        <v>42.171428571428571</v>
      </c>
      <c r="J10" s="94">
        <f t="shared" si="1"/>
        <v>32.857142857142854</v>
      </c>
      <c r="K10" s="94">
        <f t="shared" si="2"/>
        <v>64</v>
      </c>
      <c r="L10" s="93">
        <f>IFERROR(_xlfn.XLOOKUP(P10,'Europcar rates'!G:G,'Europcar rates'!D:D),"-")</f>
        <v>38</v>
      </c>
      <c r="M10" s="95">
        <f>IFERROR((L10-I10)/I10,"-")</f>
        <v>-9.8915989159891582E-2</v>
      </c>
      <c r="N10" s="96" t="str">
        <f t="shared" si="4"/>
        <v>🟡 At Market</v>
      </c>
      <c r="O10" s="97" t="str">
        <f t="shared" si="5"/>
        <v>Hold — Well Positioned</v>
      </c>
      <c r="P10" s="99" t="s">
        <v>102</v>
      </c>
    </row>
    <row r="11" spans="1:16" ht="46" customHeight="1" x14ac:dyDescent="0.2">
      <c r="A11" s="90" t="s">
        <v>2</v>
      </c>
      <c r="B11" s="91" t="s">
        <v>18</v>
      </c>
      <c r="C11" s="92" t="s">
        <v>7</v>
      </c>
      <c r="D11" s="93">
        <f>'Competitor''s Rate'!B15</f>
        <v>28.571428571428573</v>
      </c>
      <c r="E11" s="93">
        <f>'Competitor''s Rate'!C15</f>
        <v>28.428571428571427</v>
      </c>
      <c r="F11" s="93">
        <f>'Competitor''s Rate'!D15</f>
        <v>67.571428571428569</v>
      </c>
      <c r="G11" s="93">
        <f>'Competitor''s Rate'!E15</f>
        <v>24</v>
      </c>
      <c r="H11" s="93">
        <f>'Competitor''s Rate'!F15</f>
        <v>35.571428571428569</v>
      </c>
      <c r="I11" s="94">
        <f t="shared" si="0"/>
        <v>36.828571428571422</v>
      </c>
      <c r="J11" s="94">
        <f t="shared" ref="J11:J68" si="6">IFERROR(_xlfn.MINIFS(D11:H11,D11:H11,"&gt;"&amp;0),"-")</f>
        <v>24</v>
      </c>
      <c r="K11" s="94">
        <f t="shared" si="2"/>
        <v>67.571428571428569</v>
      </c>
      <c r="L11" s="93">
        <f>IFERROR(_xlfn.XLOOKUP(P11,'Europcar rates'!G:G,'Europcar rates'!E:E),"-")</f>
        <v>27.142857142857142</v>
      </c>
      <c r="M11" s="95">
        <f t="shared" si="3"/>
        <v>-0.26299456943366939</v>
      </c>
      <c r="N11" s="96" t="str">
        <f t="shared" si="4"/>
        <v>✅ Below Market</v>
      </c>
      <c r="O11" s="97" t="str">
        <f t="shared" si="5"/>
        <v>Hold — Room to Increase Rate</v>
      </c>
      <c r="P11" s="99" t="s">
        <v>102</v>
      </c>
    </row>
    <row r="12" spans="1:16" ht="46" customHeight="1" x14ac:dyDescent="0.2">
      <c r="A12" s="90" t="s">
        <v>2</v>
      </c>
      <c r="B12" s="91" t="s">
        <v>18</v>
      </c>
      <c r="C12" s="92" t="s">
        <v>10</v>
      </c>
      <c r="D12" s="93">
        <f>'Competitor''s Rate'!B16</f>
        <v>49.285714285714285</v>
      </c>
      <c r="E12" s="93">
        <f>'Competitor''s Rate'!C16</f>
        <v>49.285714285714285</v>
      </c>
      <c r="F12" s="93">
        <f>'Competitor''s Rate'!D16</f>
        <v>82.714285714285708</v>
      </c>
      <c r="G12" s="93">
        <f>'Competitor''s Rate'!E16</f>
        <v>50</v>
      </c>
      <c r="H12" s="93">
        <f>'Competitor''s Rate'!F16</f>
        <v>43.428571428571431</v>
      </c>
      <c r="I12" s="94">
        <f t="shared" si="0"/>
        <v>54.942857142857143</v>
      </c>
      <c r="J12" s="94">
        <f t="shared" si="6"/>
        <v>43.428571428571431</v>
      </c>
      <c r="K12" s="94">
        <f t="shared" si="2"/>
        <v>82.714285714285708</v>
      </c>
      <c r="L12" s="93">
        <f>IFERROR(_xlfn.XLOOKUP(P12,'Europcar rates'!G:G,'Europcar rates'!F:F),"-")</f>
        <v>47</v>
      </c>
      <c r="M12" s="95">
        <f t="shared" si="3"/>
        <v>-0.14456578263130526</v>
      </c>
      <c r="N12" s="96" t="str">
        <f t="shared" si="4"/>
        <v>✅ Below Market</v>
      </c>
      <c r="O12" s="97" t="str">
        <f t="shared" si="5"/>
        <v>Hold — Room to Increase Rate</v>
      </c>
      <c r="P12" s="99" t="s">
        <v>102</v>
      </c>
    </row>
    <row r="13" spans="1:16" ht="46" customHeight="1" x14ac:dyDescent="0.2">
      <c r="A13" s="90" t="s">
        <v>2</v>
      </c>
      <c r="B13" s="91" t="s">
        <v>5</v>
      </c>
      <c r="C13" s="92" t="s">
        <v>8</v>
      </c>
      <c r="D13" s="93">
        <f>'Competitor''s Rate'!B19</f>
        <v>26.428571428571427</v>
      </c>
      <c r="E13" s="93">
        <f>'Competitor''s Rate'!C19</f>
        <v>26.428571428571427</v>
      </c>
      <c r="F13" s="93">
        <f>'Competitor''s Rate'!D19</f>
        <v>53.714285714285715</v>
      </c>
      <c r="G13" s="93">
        <f>'Competitor''s Rate'!E19</f>
        <v>24.142857142857142</v>
      </c>
      <c r="H13" s="93">
        <f>'Competitor''s Rate'!F19</f>
        <v>22.142857142857142</v>
      </c>
      <c r="I13" s="94">
        <f t="shared" si="0"/>
        <v>30.571428571428573</v>
      </c>
      <c r="J13" s="94">
        <f t="shared" si="6"/>
        <v>22.142857142857142</v>
      </c>
      <c r="K13" s="94">
        <f t="shared" si="2"/>
        <v>53.714285714285715</v>
      </c>
      <c r="L13" s="93">
        <f>IFERROR(_xlfn.XLOOKUP(P13,'Europcar rates'!G:G,'Europcar rates'!C:C),"-")</f>
        <v>29.571428571428573</v>
      </c>
      <c r="M13" s="95">
        <f t="shared" si="3"/>
        <v>-3.2710280373831772E-2</v>
      </c>
      <c r="N13" s="96" t="str">
        <f t="shared" si="4"/>
        <v>🟡 At Market</v>
      </c>
      <c r="O13" s="97" t="str">
        <f t="shared" si="5"/>
        <v>Hold — Well Positioned</v>
      </c>
      <c r="P13" s="99" t="str">
        <f>'Europcar rates'!G6</f>
        <v>Dublin Airport | SUV</v>
      </c>
    </row>
    <row r="14" spans="1:16" ht="46" customHeight="1" x14ac:dyDescent="0.2">
      <c r="A14" s="90" t="s">
        <v>2</v>
      </c>
      <c r="B14" s="91" t="s">
        <v>5</v>
      </c>
      <c r="C14" s="92" t="s">
        <v>9</v>
      </c>
      <c r="D14" s="93">
        <f>'Competitor''s Rate'!B20</f>
        <v>47.857142857142854</v>
      </c>
      <c r="E14" s="93">
        <f>'Competitor''s Rate'!C20</f>
        <v>47.714285714285715</v>
      </c>
      <c r="F14" s="93">
        <f>'Competitor''s Rate'!D20</f>
        <v>63.714285714285715</v>
      </c>
      <c r="G14" s="93">
        <f>'Competitor''s Rate'!E20</f>
        <v>58.142857142857146</v>
      </c>
      <c r="H14" s="93">
        <f>'Competitor''s Rate'!F20</f>
        <v>34.142857142857146</v>
      </c>
      <c r="I14" s="94">
        <f t="shared" si="0"/>
        <v>50.31428571428571</v>
      </c>
      <c r="J14" s="94">
        <f t="shared" si="6"/>
        <v>34.142857142857146</v>
      </c>
      <c r="K14" s="94">
        <f t="shared" si="2"/>
        <v>63.714285714285715</v>
      </c>
      <c r="L14" s="93">
        <f>IFERROR(_xlfn.XLOOKUP(P14,'Europcar rates'!G:G,'Europcar rates'!D:D),"-")</f>
        <v>40</v>
      </c>
      <c r="M14" s="95">
        <f t="shared" si="3"/>
        <v>-0.20499716070414531</v>
      </c>
      <c r="N14" s="96" t="str">
        <f t="shared" si="4"/>
        <v>✅ Below Market</v>
      </c>
      <c r="O14" s="97" t="str">
        <f t="shared" si="5"/>
        <v>Hold — Room to Increase Rate</v>
      </c>
      <c r="P14" s="99" t="s">
        <v>101</v>
      </c>
    </row>
    <row r="15" spans="1:16" ht="46" customHeight="1" x14ac:dyDescent="0.2">
      <c r="A15" s="90" t="s">
        <v>2</v>
      </c>
      <c r="B15" s="91" t="s">
        <v>5</v>
      </c>
      <c r="C15" s="92" t="s">
        <v>7</v>
      </c>
      <c r="D15" s="93">
        <f>'Competitor''s Rate'!B21</f>
        <v>30</v>
      </c>
      <c r="E15" s="93">
        <f>'Competitor''s Rate'!C21</f>
        <v>29.857142857142858</v>
      </c>
      <c r="F15" s="93">
        <f>'Competitor''s Rate'!D21</f>
        <v>69.571428571428569</v>
      </c>
      <c r="G15" s="93">
        <f>'Competitor''s Rate'!E21</f>
        <v>30.857142857142858</v>
      </c>
      <c r="H15" s="93">
        <f>'Competitor''s Rate'!F21</f>
        <v>36.142857142857146</v>
      </c>
      <c r="I15" s="94">
        <f t="shared" si="0"/>
        <v>39.285714285714292</v>
      </c>
      <c r="J15" s="94">
        <f t="shared" si="6"/>
        <v>29.857142857142858</v>
      </c>
      <c r="K15" s="94">
        <f t="shared" si="2"/>
        <v>69.571428571428569</v>
      </c>
      <c r="L15" s="93">
        <f>IFERROR(_xlfn.XLOOKUP(P15,'Europcar rates'!G:G,'Europcar rates'!E:E),"-")</f>
        <v>32.428571428571431</v>
      </c>
      <c r="M15" s="95">
        <f t="shared" si="3"/>
        <v>-0.17454545454545461</v>
      </c>
      <c r="N15" s="96" t="str">
        <f t="shared" si="4"/>
        <v>✅ Below Market</v>
      </c>
      <c r="O15" s="97" t="str">
        <f t="shared" si="5"/>
        <v>Hold — Room to Increase Rate</v>
      </c>
      <c r="P15" s="99" t="s">
        <v>101</v>
      </c>
    </row>
    <row r="16" spans="1:16" ht="46" customHeight="1" x14ac:dyDescent="0.2">
      <c r="A16" s="90" t="s">
        <v>2</v>
      </c>
      <c r="B16" s="91" t="s">
        <v>5</v>
      </c>
      <c r="C16" s="92" t="s">
        <v>10</v>
      </c>
      <c r="D16" s="93">
        <f>'Competitor''s Rate'!B22</f>
        <v>57.857142857142854</v>
      </c>
      <c r="E16" s="93">
        <f>'Competitor''s Rate'!C22</f>
        <v>57.857142857142854</v>
      </c>
      <c r="F16" s="93">
        <f>'Competitor''s Rate'!D22</f>
        <v>82.714285714285708</v>
      </c>
      <c r="G16" s="93">
        <f>'Competitor''s Rate'!E22</f>
        <v>65.142857142857139</v>
      </c>
      <c r="H16" s="93">
        <f>'Competitor''s Rate'!F22</f>
        <v>43.571428571428569</v>
      </c>
      <c r="I16" s="94">
        <f t="shared" si="0"/>
        <v>61.428571428571423</v>
      </c>
      <c r="J16" s="94">
        <f t="shared" si="6"/>
        <v>43.571428571428569</v>
      </c>
      <c r="K16" s="94">
        <f t="shared" si="2"/>
        <v>82.714285714285708</v>
      </c>
      <c r="L16" s="93">
        <f>IFERROR(_xlfn.XLOOKUP(P16,'Europcar rates'!G:G,'Europcar rates'!F:F),"-")</f>
        <v>55</v>
      </c>
      <c r="M16" s="95">
        <f t="shared" si="3"/>
        <v>-0.1046511627906976</v>
      </c>
      <c r="N16" s="96" t="str">
        <f t="shared" si="4"/>
        <v>✅ Below Market</v>
      </c>
      <c r="O16" s="97" t="str">
        <f t="shared" si="5"/>
        <v>Hold — Room to Increase Rate</v>
      </c>
      <c r="P16" s="99" t="s">
        <v>101</v>
      </c>
    </row>
    <row r="17" spans="1:16" ht="46" customHeight="1" x14ac:dyDescent="0.2">
      <c r="A17" s="90" t="s">
        <v>2</v>
      </c>
      <c r="B17" s="91" t="s">
        <v>65</v>
      </c>
      <c r="C17" s="92" t="s">
        <v>8</v>
      </c>
      <c r="D17" s="93" t="str">
        <f>'Competitor''s Rate'!B25</f>
        <v>-</v>
      </c>
      <c r="E17" s="93">
        <f>'Competitor''s Rate'!C25</f>
        <v>192.85714285714286</v>
      </c>
      <c r="F17" s="93" t="str">
        <f>'Competitor''s Rate'!D25</f>
        <v>-</v>
      </c>
      <c r="G17" s="93">
        <f>'Competitor''s Rate'!E25</f>
        <v>104.28571428571429</v>
      </c>
      <c r="H17" s="93" t="str">
        <f>'Competitor''s Rate'!F25</f>
        <v>-</v>
      </c>
      <c r="I17" s="94">
        <f t="shared" si="0"/>
        <v>148.57142857142858</v>
      </c>
      <c r="J17" s="94">
        <f t="shared" si="6"/>
        <v>104.28571428571429</v>
      </c>
      <c r="K17" s="94">
        <f t="shared" si="2"/>
        <v>192.85714285714286</v>
      </c>
      <c r="L17" s="93" t="str">
        <f>IFERROR(_xlfn.XLOOKUP(P17,'Europcar rates'!G:G,'Europcar rates'!C:C),"-")</f>
        <v>-</v>
      </c>
      <c r="M17" s="95" t="str">
        <f t="shared" si="3"/>
        <v>-</v>
      </c>
      <c r="N17" s="96" t="str">
        <f>IF(L17="-","⚪ Not Offered by Europcar",IF(L17&lt;=I17*0.9,"✅ Below Market",IF(L17&lt;=I17*1.1,"🟡 At Market","🔴 Above Market")))</f>
        <v>⚪ Not Offered by Europcar</v>
      </c>
      <c r="O17" s="97" t="str">
        <f t="shared" si="5"/>
        <v>See opportunity analysis on dashboard</v>
      </c>
      <c r="P17" s="99" t="str">
        <f>'Europcar rates'!G7</f>
        <v>Dublin Airport | People carrier</v>
      </c>
    </row>
    <row r="18" spans="1:16" ht="46" customHeight="1" x14ac:dyDescent="0.2">
      <c r="A18" s="90" t="s">
        <v>2</v>
      </c>
      <c r="B18" s="91" t="s">
        <v>65</v>
      </c>
      <c r="C18" s="92" t="s">
        <v>9</v>
      </c>
      <c r="D18" s="93">
        <f>'Competitor''s Rate'!B26</f>
        <v>555</v>
      </c>
      <c r="E18" s="93">
        <f>'Competitor''s Rate'!C26</f>
        <v>221.42857142857142</v>
      </c>
      <c r="F18" s="93">
        <f>'Competitor''s Rate'!D26</f>
        <v>147.71428571428572</v>
      </c>
      <c r="G18" s="93">
        <f>'Competitor''s Rate'!E26</f>
        <v>430.42857142857144</v>
      </c>
      <c r="H18" s="93">
        <f>'Competitor''s Rate'!F26</f>
        <v>258.14285714285717</v>
      </c>
      <c r="I18" s="94">
        <f t="shared" si="0"/>
        <v>322.54285714285709</v>
      </c>
      <c r="J18" s="94">
        <f t="shared" si="6"/>
        <v>147.71428571428572</v>
      </c>
      <c r="K18" s="94">
        <f t="shared" si="2"/>
        <v>555</v>
      </c>
      <c r="L18" s="93">
        <f>IFERROR(_xlfn.XLOOKUP(P18,'Europcar rates'!G:G,'Europcar rates'!D:D),"-")</f>
        <v>85.142857142857139</v>
      </c>
      <c r="M18" s="95">
        <f t="shared" si="3"/>
        <v>-0.73602622021436792</v>
      </c>
      <c r="N18" s="96" t="str">
        <f>IF(L18="-","⚪ Not Offered by Europcar",IF(L18&lt;=I18*0.9,"✅ Below Market",IF(L18&lt;=I18*1.1,"🟡 At Market","🔴 Above Market")))</f>
        <v>✅ Below Market</v>
      </c>
      <c r="O18" s="97" t="str">
        <f t="shared" si="5"/>
        <v>Hold — Room to Increase Rate</v>
      </c>
      <c r="P18" s="99" t="s">
        <v>103</v>
      </c>
    </row>
    <row r="19" spans="1:16" ht="46" customHeight="1" x14ac:dyDescent="0.2">
      <c r="A19" s="90" t="s">
        <v>2</v>
      </c>
      <c r="B19" s="91" t="s">
        <v>65</v>
      </c>
      <c r="C19" s="92" t="s">
        <v>7</v>
      </c>
      <c r="D19" s="93" t="str">
        <f>'Competitor''s Rate'!B27</f>
        <v>-</v>
      </c>
      <c r="E19" s="93">
        <f>'Competitor''s Rate'!C27</f>
        <v>243.28571428571428</v>
      </c>
      <c r="F19" s="93" t="str">
        <f>'Competitor''s Rate'!D27</f>
        <v>-</v>
      </c>
      <c r="G19" s="93">
        <f>'Competitor''s Rate'!E27</f>
        <v>92</v>
      </c>
      <c r="H19" s="93">
        <f>'Competitor''s Rate'!F27</f>
        <v>339.14285714285717</v>
      </c>
      <c r="I19" s="94">
        <f t="shared" si="0"/>
        <v>224.80952380952382</v>
      </c>
      <c r="J19" s="94">
        <f t="shared" si="6"/>
        <v>92</v>
      </c>
      <c r="K19" s="94">
        <f t="shared" si="2"/>
        <v>339.14285714285717</v>
      </c>
      <c r="L19" s="93" t="str">
        <f>IFERROR(_xlfn.XLOOKUP(P19,'Europcar rates'!G:G,'Europcar rates'!E:E),"-")</f>
        <v>-</v>
      </c>
      <c r="M19" s="95" t="str">
        <f t="shared" si="3"/>
        <v>-</v>
      </c>
      <c r="N19" s="96" t="str">
        <f t="shared" ref="N19:N68" si="7">IF(L19="-","⚪ Not Offered by Europcar",IF(L19&lt;=I19*0.9,"✅ Below Market",IF(L19&lt;=I19*1.1,"🟡 At Market","🔴 Above Market")))</f>
        <v>⚪ Not Offered by Europcar</v>
      </c>
      <c r="O19" s="97" t="str">
        <f t="shared" si="5"/>
        <v>See opportunity analysis on dashboard</v>
      </c>
      <c r="P19" s="99" t="s">
        <v>103</v>
      </c>
    </row>
    <row r="20" spans="1:16" ht="46" customHeight="1" x14ac:dyDescent="0.2">
      <c r="A20" s="90" t="s">
        <v>2</v>
      </c>
      <c r="B20" s="91" t="s">
        <v>65</v>
      </c>
      <c r="C20" s="92" t="s">
        <v>10</v>
      </c>
      <c r="D20" s="93">
        <f>'Competitor''s Rate'!B28</f>
        <v>300</v>
      </c>
      <c r="E20" s="93">
        <f>'Competitor''s Rate'!C28</f>
        <v>290.28571428571428</v>
      </c>
      <c r="F20" s="93">
        <f>'Competitor''s Rate'!D28</f>
        <v>191.42857142857142</v>
      </c>
      <c r="G20" s="93">
        <f>'Competitor''s Rate'!E28</f>
        <v>208.71428571428572</v>
      </c>
      <c r="H20" s="93" t="str">
        <f>'Competitor''s Rate'!F28</f>
        <v>-</v>
      </c>
      <c r="I20" s="94">
        <f t="shared" si="0"/>
        <v>247.60714285714283</v>
      </c>
      <c r="J20" s="94">
        <f t="shared" si="6"/>
        <v>191.42857142857142</v>
      </c>
      <c r="K20" s="94">
        <f t="shared" si="2"/>
        <v>300</v>
      </c>
      <c r="L20" s="93">
        <f>IFERROR(_xlfn.XLOOKUP(P20,'Europcar rates'!G:G,'Europcar rates'!F:F),"-")</f>
        <v>94.857142857142861</v>
      </c>
      <c r="M20" s="95">
        <f t="shared" si="3"/>
        <v>-0.61690465887783064</v>
      </c>
      <c r="N20" s="96" t="str">
        <f t="shared" si="7"/>
        <v>✅ Below Market</v>
      </c>
      <c r="O20" s="97" t="str">
        <f t="shared" si="5"/>
        <v>Hold — Room to Increase Rate</v>
      </c>
      <c r="P20" s="99" t="s">
        <v>103</v>
      </c>
    </row>
    <row r="21" spans="1:16" ht="46" customHeight="1" x14ac:dyDescent="0.2">
      <c r="A21" s="90" t="s">
        <v>22</v>
      </c>
      <c r="B21" s="91" t="s">
        <v>17</v>
      </c>
      <c r="C21" s="92" t="s">
        <v>8</v>
      </c>
      <c r="D21" s="93">
        <f>'Competitor''s Rate'!H7</f>
        <v>22.857142857142858</v>
      </c>
      <c r="E21" s="93">
        <f>'Competitor''s Rate'!I7</f>
        <v>23.571428571428573</v>
      </c>
      <c r="F21" s="93">
        <f>'Competitor''s Rate'!J7</f>
        <v>52.857142857142854</v>
      </c>
      <c r="G21" s="93">
        <f>'Competitor''s Rate'!K7</f>
        <v>16.571428571428573</v>
      </c>
      <c r="H21" s="93">
        <f>'Competitor''s Rate'!L7</f>
        <v>20</v>
      </c>
      <c r="I21" s="94">
        <f t="shared" si="0"/>
        <v>27.171428571428567</v>
      </c>
      <c r="J21" s="94">
        <f t="shared" si="6"/>
        <v>16.571428571428573</v>
      </c>
      <c r="K21" s="94">
        <f t="shared" si="2"/>
        <v>52.857142857142854</v>
      </c>
      <c r="L21" s="93">
        <f>IFERROR(_xlfn.XLOOKUP(P21,'Europcar rates'!G:G,'Europcar rates'!C:C),"-")</f>
        <v>21.142857142857142</v>
      </c>
      <c r="M21" s="95">
        <f t="shared" si="3"/>
        <v>-0.22187171398527855</v>
      </c>
      <c r="N21" s="96" t="str">
        <f t="shared" si="7"/>
        <v>✅ Below Market</v>
      </c>
      <c r="O21" s="97" t="str">
        <f t="shared" si="5"/>
        <v>Hold — Room to Increase Rate</v>
      </c>
      <c r="P21" s="99" t="str">
        <f>'Europcar rates'!G9</f>
        <v>Cork Airport | Economy (Small Car)</v>
      </c>
    </row>
    <row r="22" spans="1:16" ht="46" customHeight="1" x14ac:dyDescent="0.2">
      <c r="A22" s="90" t="s">
        <v>22</v>
      </c>
      <c r="B22" s="91" t="s">
        <v>17</v>
      </c>
      <c r="C22" s="92" t="s">
        <v>9</v>
      </c>
      <c r="D22" s="93">
        <f>'Competitor''s Rate'!H8</f>
        <v>37.142857142857146</v>
      </c>
      <c r="E22" s="93">
        <f>'Competitor''s Rate'!I8</f>
        <v>39.142857142857146</v>
      </c>
      <c r="F22" s="93">
        <f>'Competitor''s Rate'!J8</f>
        <v>72.857142857142861</v>
      </c>
      <c r="G22" s="93">
        <f>'Competitor''s Rate'!K8</f>
        <v>30</v>
      </c>
      <c r="H22" s="93">
        <f>'Competitor''s Rate'!L8</f>
        <v>31</v>
      </c>
      <c r="I22" s="94">
        <f t="shared" si="0"/>
        <v>42.028571428571432</v>
      </c>
      <c r="J22" s="94">
        <f t="shared" si="6"/>
        <v>30</v>
      </c>
      <c r="K22" s="94">
        <f t="shared" si="2"/>
        <v>72.857142857142861</v>
      </c>
      <c r="L22" s="93">
        <f>IFERROR(_xlfn.XLOOKUP(P22,'Europcar rates'!G:G,'Europcar rates'!D:D),"-")</f>
        <v>35.428571428571431</v>
      </c>
      <c r="M22" s="95">
        <f t="shared" si="3"/>
        <v>-0.15703602991162477</v>
      </c>
      <c r="N22" s="96" t="str">
        <f t="shared" si="7"/>
        <v>✅ Below Market</v>
      </c>
      <c r="O22" s="97" t="str">
        <f t="shared" si="5"/>
        <v>Hold — Room to Increase Rate</v>
      </c>
      <c r="P22" s="99" t="s">
        <v>66</v>
      </c>
    </row>
    <row r="23" spans="1:16" ht="46" customHeight="1" x14ac:dyDescent="0.2">
      <c r="A23" s="90" t="s">
        <v>22</v>
      </c>
      <c r="B23" s="91" t="s">
        <v>17</v>
      </c>
      <c r="C23" s="92" t="s">
        <v>7</v>
      </c>
      <c r="D23" s="93">
        <f>'Competitor''s Rate'!H9</f>
        <v>26.285714285714285</v>
      </c>
      <c r="E23" s="93">
        <f>'Competitor''s Rate'!I9</f>
        <v>27.428571428571427</v>
      </c>
      <c r="F23" s="93">
        <f>'Competitor''s Rate'!J9</f>
        <v>71.428571428571431</v>
      </c>
      <c r="G23" s="93">
        <f>'Competitor''s Rate'!K9</f>
        <v>21.428571428571427</v>
      </c>
      <c r="H23" s="93">
        <f>'Competitor''s Rate'!L9</f>
        <v>23.142857142857142</v>
      </c>
      <c r="I23" s="94">
        <f t="shared" si="0"/>
        <v>33.942857142857136</v>
      </c>
      <c r="J23" s="94">
        <f t="shared" si="6"/>
        <v>21.428571428571427</v>
      </c>
      <c r="K23" s="94">
        <f t="shared" si="2"/>
        <v>71.428571428571431</v>
      </c>
      <c r="L23" s="93">
        <f>IFERROR(_xlfn.XLOOKUP(P23,'Europcar rates'!G:G,'Europcar rates'!E:E),"-")</f>
        <v>25.142857142857142</v>
      </c>
      <c r="M23" s="95">
        <f t="shared" si="3"/>
        <v>-0.25925925925925913</v>
      </c>
      <c r="N23" s="96" t="str">
        <f t="shared" si="7"/>
        <v>✅ Below Market</v>
      </c>
      <c r="O23" s="97" t="str">
        <f t="shared" si="5"/>
        <v>Hold — Room to Increase Rate</v>
      </c>
      <c r="P23" s="99" t="s">
        <v>66</v>
      </c>
    </row>
    <row r="24" spans="1:16" ht="46" customHeight="1" x14ac:dyDescent="0.2">
      <c r="A24" s="90" t="s">
        <v>22</v>
      </c>
      <c r="B24" s="91" t="s">
        <v>17</v>
      </c>
      <c r="C24" s="92" t="s">
        <v>10</v>
      </c>
      <c r="D24" s="93">
        <f>'Competitor''s Rate'!H10</f>
        <v>45.428571428571431</v>
      </c>
      <c r="E24" s="93">
        <f>'Competitor''s Rate'!I10</f>
        <v>45.285714285714285</v>
      </c>
      <c r="F24" s="93">
        <f>'Competitor''s Rate'!J10</f>
        <v>110.85714285714286</v>
      </c>
      <c r="G24" s="93">
        <f>'Competitor''s Rate'!K10</f>
        <v>37.571428571428569</v>
      </c>
      <c r="H24" s="93">
        <f>'Competitor''s Rate'!L10</f>
        <v>37.714285714285715</v>
      </c>
      <c r="I24" s="94">
        <f t="shared" si="0"/>
        <v>55.371428571428581</v>
      </c>
      <c r="J24" s="94">
        <f t="shared" si="6"/>
        <v>37.571428571428569</v>
      </c>
      <c r="K24" s="94">
        <f t="shared" si="2"/>
        <v>110.85714285714286</v>
      </c>
      <c r="L24" s="93">
        <f>IFERROR(_xlfn.XLOOKUP(P24,'Europcar rates'!G:G,'Europcar rates'!F:F),"-")</f>
        <v>43.285714285714285</v>
      </c>
      <c r="M24" s="95">
        <f t="shared" si="3"/>
        <v>-0.2182662538699692</v>
      </c>
      <c r="N24" s="96" t="str">
        <f t="shared" si="7"/>
        <v>✅ Below Market</v>
      </c>
      <c r="O24" s="97" t="str">
        <f t="shared" si="5"/>
        <v>Hold — Room to Increase Rate</v>
      </c>
      <c r="P24" s="99" t="s">
        <v>66</v>
      </c>
    </row>
    <row r="25" spans="1:16" ht="46" customHeight="1" x14ac:dyDescent="0.2">
      <c r="A25" s="90" t="s">
        <v>22</v>
      </c>
      <c r="B25" s="91" t="s">
        <v>17</v>
      </c>
      <c r="C25" s="92" t="s">
        <v>8</v>
      </c>
      <c r="D25" s="93">
        <f>'Competitor''s Rate'!H13</f>
        <v>25</v>
      </c>
      <c r="E25" s="93">
        <f>'Competitor''s Rate'!I13</f>
        <v>25.714285714285715</v>
      </c>
      <c r="F25" s="93">
        <f>'Competitor''s Rate'!J13</f>
        <v>58.428571428571431</v>
      </c>
      <c r="G25" s="93">
        <f>'Competitor''s Rate'!K13</f>
        <v>19</v>
      </c>
      <c r="H25" s="93">
        <f>'Competitor''s Rate'!L13</f>
        <v>21.857142857142858</v>
      </c>
      <c r="I25" s="94">
        <f t="shared" si="0"/>
        <v>30</v>
      </c>
      <c r="J25" s="94">
        <f t="shared" si="6"/>
        <v>19</v>
      </c>
      <c r="K25" s="94">
        <f t="shared" si="2"/>
        <v>58.428571428571431</v>
      </c>
      <c r="L25" s="93">
        <f>IFERROR(_xlfn.XLOOKUP(P25,'Europcar rates'!G:G,'Europcar rates'!C:C),"-")</f>
        <v>23.857142857142858</v>
      </c>
      <c r="M25" s="95">
        <f t="shared" si="3"/>
        <v>-0.20476190476190476</v>
      </c>
      <c r="N25" s="96" t="str">
        <f t="shared" si="7"/>
        <v>✅ Below Market</v>
      </c>
      <c r="O25" s="97" t="str">
        <f t="shared" si="5"/>
        <v>Hold — Room to Increase Rate</v>
      </c>
      <c r="P25" s="99" t="str">
        <f>'Europcar rates'!G10</f>
        <v>Cork Airport | Compact (Medium Car)</v>
      </c>
    </row>
    <row r="26" spans="1:16" ht="46" customHeight="1" x14ac:dyDescent="0.2">
      <c r="A26" s="90" t="s">
        <v>22</v>
      </c>
      <c r="B26" s="91" t="s">
        <v>18</v>
      </c>
      <c r="C26" s="92" t="s">
        <v>9</v>
      </c>
      <c r="D26" s="93">
        <f>'Competitor''s Rate'!H14</f>
        <v>40</v>
      </c>
      <c r="E26" s="93">
        <f>'Competitor''s Rate'!I14</f>
        <v>42</v>
      </c>
      <c r="F26" s="93">
        <f>'Competitor''s Rate'!J14</f>
        <v>82.857142857142861</v>
      </c>
      <c r="G26" s="93">
        <f>'Competitor''s Rate'!K14</f>
        <v>32.857142857142854</v>
      </c>
      <c r="H26" s="93">
        <f>'Competitor''s Rate'!L14</f>
        <v>34</v>
      </c>
      <c r="I26" s="94">
        <f t="shared" si="0"/>
        <v>46.342857142857142</v>
      </c>
      <c r="J26" s="94">
        <f t="shared" si="6"/>
        <v>32.857142857142854</v>
      </c>
      <c r="K26" s="94">
        <f t="shared" si="2"/>
        <v>82.857142857142861</v>
      </c>
      <c r="L26" s="93">
        <f>IFERROR(_xlfn.XLOOKUP(P26,'Europcar rates'!G:G,'Europcar rates'!D:D),"-")</f>
        <v>38</v>
      </c>
      <c r="M26" s="95">
        <f t="shared" si="3"/>
        <v>-0.18002466091245373</v>
      </c>
      <c r="N26" s="96" t="str">
        <f t="shared" si="7"/>
        <v>✅ Below Market</v>
      </c>
      <c r="O26" s="97" t="str">
        <f t="shared" si="5"/>
        <v>Hold — Room to Increase Rate</v>
      </c>
      <c r="P26" s="99" t="s">
        <v>67</v>
      </c>
    </row>
    <row r="27" spans="1:16" ht="46" customHeight="1" x14ac:dyDescent="0.2">
      <c r="A27" s="90" t="s">
        <v>22</v>
      </c>
      <c r="B27" s="91" t="s">
        <v>18</v>
      </c>
      <c r="C27" s="92" t="s">
        <v>7</v>
      </c>
      <c r="D27" s="93">
        <f>'Competitor''s Rate'!H15</f>
        <v>28.571428571428573</v>
      </c>
      <c r="E27" s="93">
        <f>'Competitor''s Rate'!I15</f>
        <v>28.428571428571427</v>
      </c>
      <c r="F27" s="93">
        <f>'Competitor''s Rate'!J15</f>
        <v>78.571428571428569</v>
      </c>
      <c r="G27" s="93">
        <f>'Competitor''s Rate'!K15</f>
        <v>24</v>
      </c>
      <c r="H27" s="93">
        <f>'Competitor''s Rate'!L15</f>
        <v>25.285714285714285</v>
      </c>
      <c r="I27" s="94">
        <f t="shared" si="0"/>
        <v>36.971428571428568</v>
      </c>
      <c r="J27" s="94">
        <f t="shared" si="6"/>
        <v>24</v>
      </c>
      <c r="K27" s="94">
        <f t="shared" si="2"/>
        <v>78.571428571428569</v>
      </c>
      <c r="L27" s="93">
        <f>IFERROR(_xlfn.XLOOKUP(P27,'Europcar rates'!G:G,'Europcar rates'!E:E),"-")</f>
        <v>27.142857142857142</v>
      </c>
      <c r="M27" s="95">
        <f t="shared" si="3"/>
        <v>-0.2658423493044822</v>
      </c>
      <c r="N27" s="96" t="str">
        <f t="shared" si="7"/>
        <v>✅ Below Market</v>
      </c>
      <c r="O27" s="97" t="str">
        <f t="shared" si="5"/>
        <v>Hold — Room to Increase Rate</v>
      </c>
      <c r="P27" s="99" t="s">
        <v>67</v>
      </c>
    </row>
    <row r="28" spans="1:16" ht="46" customHeight="1" x14ac:dyDescent="0.2">
      <c r="A28" s="90" t="s">
        <v>22</v>
      </c>
      <c r="B28" s="91" t="s">
        <v>18</v>
      </c>
      <c r="C28" s="92" t="s">
        <v>10</v>
      </c>
      <c r="D28" s="93">
        <f>'Competitor''s Rate'!H16</f>
        <v>49.285714285714285</v>
      </c>
      <c r="E28" s="93">
        <f>'Competitor''s Rate'!I16</f>
        <v>49.285714285714285</v>
      </c>
      <c r="F28" s="93">
        <f>'Competitor''s Rate'!J16</f>
        <v>117.28571428571429</v>
      </c>
      <c r="G28" s="93">
        <f>'Competitor''s Rate'!K16</f>
        <v>50</v>
      </c>
      <c r="H28" s="93">
        <f>'Competitor''s Rate'!L16</f>
        <v>41.428571428571431</v>
      </c>
      <c r="I28" s="94">
        <f t="shared" si="0"/>
        <v>61.45714285714287</v>
      </c>
      <c r="J28" s="94">
        <f t="shared" si="6"/>
        <v>41.428571428571431</v>
      </c>
      <c r="K28" s="94">
        <f t="shared" si="2"/>
        <v>117.28571428571429</v>
      </c>
      <c r="L28" s="93">
        <f>IFERROR(_xlfn.XLOOKUP(P28,'Europcar rates'!G:G,'Europcar rates'!F:F),"-")</f>
        <v>47</v>
      </c>
      <c r="M28" s="95">
        <f t="shared" si="3"/>
        <v>-0.2352394235239425</v>
      </c>
      <c r="N28" s="96" t="str">
        <f t="shared" si="7"/>
        <v>✅ Below Market</v>
      </c>
      <c r="O28" s="97" t="str">
        <f t="shared" si="5"/>
        <v>Hold — Room to Increase Rate</v>
      </c>
      <c r="P28" s="99" t="s">
        <v>67</v>
      </c>
    </row>
    <row r="29" spans="1:16" ht="46" customHeight="1" x14ac:dyDescent="0.2">
      <c r="A29" s="90" t="s">
        <v>22</v>
      </c>
      <c r="B29" s="91" t="s">
        <v>5</v>
      </c>
      <c r="C29" s="92" t="s">
        <v>8</v>
      </c>
      <c r="D29" s="93">
        <f>'Competitor''s Rate'!H19</f>
        <v>26.428571428571427</v>
      </c>
      <c r="E29" s="93">
        <f>'Competitor''s Rate'!I19</f>
        <v>27.142857142857142</v>
      </c>
      <c r="F29" s="93">
        <f>'Competitor''s Rate'!J19</f>
        <v>61.285714285714285</v>
      </c>
      <c r="G29" s="93">
        <f>'Competitor''s Rate'!K19</f>
        <v>24.142857142857142</v>
      </c>
      <c r="H29" s="93">
        <f>'Competitor''s Rate'!L19</f>
        <v>22.142857142857142</v>
      </c>
      <c r="I29" s="94">
        <f t="shared" si="0"/>
        <v>32.228571428571428</v>
      </c>
      <c r="J29" s="94">
        <f t="shared" si="6"/>
        <v>22.142857142857142</v>
      </c>
      <c r="K29" s="94">
        <f t="shared" si="2"/>
        <v>61.285714285714285</v>
      </c>
      <c r="L29" s="93">
        <f>IFERROR(_xlfn.XLOOKUP(P29,'Europcar rates'!G:G,'Europcar rates'!C:C),"-")</f>
        <v>29.571428571428573</v>
      </c>
      <c r="M29" s="95">
        <f t="shared" si="3"/>
        <v>-8.2446808510638223E-2</v>
      </c>
      <c r="N29" s="96" t="str">
        <f t="shared" si="7"/>
        <v>🟡 At Market</v>
      </c>
      <c r="O29" s="97" t="str">
        <f t="shared" si="5"/>
        <v>Hold — Well Positioned</v>
      </c>
      <c r="P29" s="99" t="str">
        <f>'Europcar rates'!G11</f>
        <v>Cork Airport | SUV</v>
      </c>
    </row>
    <row r="30" spans="1:16" ht="46" customHeight="1" x14ac:dyDescent="0.2">
      <c r="A30" s="90" t="s">
        <v>22</v>
      </c>
      <c r="B30" s="91" t="s">
        <v>5</v>
      </c>
      <c r="C30" s="92" t="s">
        <v>9</v>
      </c>
      <c r="D30" s="93">
        <f>'Competitor''s Rate'!H20</f>
        <v>47.857142857142854</v>
      </c>
      <c r="E30" s="93">
        <f>'Competitor''s Rate'!I20</f>
        <v>51.285714285714285</v>
      </c>
      <c r="F30" s="93">
        <f>'Competitor''s Rate'!J20</f>
        <v>87.428571428571431</v>
      </c>
      <c r="G30" s="93">
        <f>'Competitor''s Rate'!K20</f>
        <v>58.142857142857146</v>
      </c>
      <c r="H30" s="93">
        <f>'Competitor''s Rate'!L20</f>
        <v>34.142857142857146</v>
      </c>
      <c r="I30" s="94">
        <f t="shared" si="0"/>
        <v>55.771428571428565</v>
      </c>
      <c r="J30" s="94">
        <f t="shared" si="6"/>
        <v>34.142857142857146</v>
      </c>
      <c r="K30" s="94">
        <f t="shared" si="2"/>
        <v>87.428571428571431</v>
      </c>
      <c r="L30" s="93">
        <f>IFERROR(_xlfn.XLOOKUP(P30,'Europcar rates'!G:G,'Europcar rates'!D:D),"-")</f>
        <v>45.142857142857146</v>
      </c>
      <c r="M30" s="95">
        <f t="shared" si="3"/>
        <v>-0.19057377049180313</v>
      </c>
      <c r="N30" s="96" t="str">
        <f t="shared" si="7"/>
        <v>✅ Below Market</v>
      </c>
      <c r="O30" s="97" t="str">
        <f t="shared" si="5"/>
        <v>Hold — Room to Increase Rate</v>
      </c>
      <c r="P30" s="99" t="s">
        <v>68</v>
      </c>
    </row>
    <row r="31" spans="1:16" ht="46" customHeight="1" x14ac:dyDescent="0.2">
      <c r="A31" s="90" t="s">
        <v>22</v>
      </c>
      <c r="B31" s="91" t="s">
        <v>5</v>
      </c>
      <c r="C31" s="92" t="s">
        <v>7</v>
      </c>
      <c r="D31" s="93">
        <f>'Competitor''s Rate'!H21</f>
        <v>30</v>
      </c>
      <c r="E31" s="93">
        <f>'Competitor''s Rate'!I21</f>
        <v>29.857142857142858</v>
      </c>
      <c r="F31" s="93">
        <f>'Competitor''s Rate'!J21</f>
        <v>82.428571428571431</v>
      </c>
      <c r="G31" s="93">
        <f>'Competitor''s Rate'!K21</f>
        <v>30.857142857142858</v>
      </c>
      <c r="H31" s="93">
        <f>'Competitor''s Rate'!L21</f>
        <v>27</v>
      </c>
      <c r="I31" s="94">
        <f t="shared" si="0"/>
        <v>40.028571428571425</v>
      </c>
      <c r="J31" s="94">
        <f t="shared" si="6"/>
        <v>27</v>
      </c>
      <c r="K31" s="94">
        <f t="shared" si="2"/>
        <v>82.428571428571431</v>
      </c>
      <c r="L31" s="93">
        <f>IFERROR(_xlfn.XLOOKUP(P31,'Europcar rates'!G:G,'Europcar rates'!E:E),"-")</f>
        <v>32.428571428571431</v>
      </c>
      <c r="M31" s="95">
        <f t="shared" si="3"/>
        <v>-0.18986438258386854</v>
      </c>
      <c r="N31" s="96" t="str">
        <f t="shared" si="7"/>
        <v>✅ Below Market</v>
      </c>
      <c r="O31" s="97" t="str">
        <f t="shared" si="5"/>
        <v>Hold — Room to Increase Rate</v>
      </c>
      <c r="P31" s="99" t="s">
        <v>68</v>
      </c>
    </row>
    <row r="32" spans="1:16" ht="46" customHeight="1" x14ac:dyDescent="0.2">
      <c r="A32" s="90" t="s">
        <v>22</v>
      </c>
      <c r="B32" s="91" t="s">
        <v>5</v>
      </c>
      <c r="C32" s="92" t="s">
        <v>10</v>
      </c>
      <c r="D32" s="93">
        <f>'Competitor''s Rate'!H22</f>
        <v>57.857142857142854</v>
      </c>
      <c r="E32" s="93">
        <f>'Competitor''s Rate'!I22</f>
        <v>57.857142857142854</v>
      </c>
      <c r="F32" s="93">
        <f>'Competitor''s Rate'!J22</f>
        <v>122.14285714285714</v>
      </c>
      <c r="G32" s="93">
        <f>'Competitor''s Rate'!K22</f>
        <v>65.142857142857139</v>
      </c>
      <c r="H32" s="93">
        <f>'Competitor''s Rate'!L22</f>
        <v>43.571428571428569</v>
      </c>
      <c r="I32" s="94">
        <f t="shared" si="0"/>
        <v>69.314285714285717</v>
      </c>
      <c r="J32" s="94">
        <f t="shared" si="6"/>
        <v>43.571428571428569</v>
      </c>
      <c r="K32" s="94">
        <f t="shared" si="2"/>
        <v>122.14285714285714</v>
      </c>
      <c r="L32" s="93">
        <f>IFERROR(_xlfn.XLOOKUP(P32,'Europcar rates'!G:G,'Europcar rates'!F:F),"-")</f>
        <v>55</v>
      </c>
      <c r="M32" s="95">
        <f t="shared" si="3"/>
        <v>-0.2065127782357791</v>
      </c>
      <c r="N32" s="96" t="str">
        <f t="shared" si="7"/>
        <v>✅ Below Market</v>
      </c>
      <c r="O32" s="97" t="str">
        <f t="shared" si="5"/>
        <v>Hold — Room to Increase Rate</v>
      </c>
      <c r="P32" s="99" t="s">
        <v>68</v>
      </c>
    </row>
    <row r="33" spans="1:16" ht="46" customHeight="1" x14ac:dyDescent="0.2">
      <c r="A33" s="90" t="s">
        <v>22</v>
      </c>
      <c r="B33" s="91" t="s">
        <v>65</v>
      </c>
      <c r="C33" s="92" t="s">
        <v>8</v>
      </c>
      <c r="D33" s="93" t="str">
        <f>'Competitor''s Rate'!H25</f>
        <v>-</v>
      </c>
      <c r="E33" s="93">
        <f>'Competitor''s Rate'!I25</f>
        <v>192.85714285714286</v>
      </c>
      <c r="F33" s="93" t="str">
        <f>'Competitor''s Rate'!J25</f>
        <v>-</v>
      </c>
      <c r="G33" s="93">
        <f>'Competitor''s Rate'!K25</f>
        <v>104.28571428571429</v>
      </c>
      <c r="H33" s="93" t="str">
        <f>'Competitor''s Rate'!L25</f>
        <v>-</v>
      </c>
      <c r="I33" s="94">
        <f t="shared" si="0"/>
        <v>148.57142857142858</v>
      </c>
      <c r="J33" s="94">
        <f t="shared" si="6"/>
        <v>104.28571428571429</v>
      </c>
      <c r="K33" s="94">
        <f t="shared" si="2"/>
        <v>192.85714285714286</v>
      </c>
      <c r="L33" s="93" t="str">
        <f>IFERROR(_xlfn.XLOOKUP(P33,'Europcar rates'!G:G,'Europcar rates'!C:C),"-")</f>
        <v>-</v>
      </c>
      <c r="M33" s="95" t="str">
        <f t="shared" si="3"/>
        <v>-</v>
      </c>
      <c r="N33" s="96" t="str">
        <f t="shared" si="7"/>
        <v>⚪ Not Offered by Europcar</v>
      </c>
      <c r="O33" s="97" t="str">
        <f t="shared" si="5"/>
        <v>See opportunity analysis on dashboard</v>
      </c>
      <c r="P33" s="99" t="str">
        <f>'Europcar rates'!G12</f>
        <v>Cork Airport | People carrier</v>
      </c>
    </row>
    <row r="34" spans="1:16" ht="46" customHeight="1" x14ac:dyDescent="0.2">
      <c r="A34" s="90" t="s">
        <v>22</v>
      </c>
      <c r="B34" s="91" t="s">
        <v>65</v>
      </c>
      <c r="C34" s="92" t="s">
        <v>9</v>
      </c>
      <c r="D34" s="93">
        <f>'Competitor''s Rate'!H26</f>
        <v>555</v>
      </c>
      <c r="E34" s="93">
        <f>'Competitor''s Rate'!I26</f>
        <v>221.42857142857142</v>
      </c>
      <c r="F34" s="93">
        <f>'Competitor''s Rate'!J26</f>
        <v>179.42857142857142</v>
      </c>
      <c r="G34" s="93">
        <f>'Competitor''s Rate'!K26</f>
        <v>430.42857142857144</v>
      </c>
      <c r="H34" s="93" t="str">
        <f>'Competitor''s Rate'!L26</f>
        <v>-</v>
      </c>
      <c r="I34" s="94">
        <f t="shared" si="0"/>
        <v>346.57142857142856</v>
      </c>
      <c r="J34" s="94">
        <f t="shared" si="6"/>
        <v>179.42857142857142</v>
      </c>
      <c r="K34" s="94">
        <f t="shared" si="2"/>
        <v>555</v>
      </c>
      <c r="L34" s="93" t="str">
        <f>IFERROR(_xlfn.XLOOKUP(P34,'Europcar rates'!G:G,'Europcar rates'!D:D),"-")</f>
        <v>-</v>
      </c>
      <c r="M34" s="95" t="str">
        <f t="shared" si="3"/>
        <v>-</v>
      </c>
      <c r="N34" s="96" t="str">
        <f t="shared" si="7"/>
        <v>⚪ Not Offered by Europcar</v>
      </c>
      <c r="O34" s="97" t="str">
        <f t="shared" si="5"/>
        <v>See opportunity analysis on dashboard</v>
      </c>
      <c r="P34" s="99" t="s">
        <v>69</v>
      </c>
    </row>
    <row r="35" spans="1:16" ht="46" customHeight="1" x14ac:dyDescent="0.2">
      <c r="A35" s="90" t="s">
        <v>22</v>
      </c>
      <c r="B35" s="91" t="s">
        <v>65</v>
      </c>
      <c r="C35" s="92" t="s">
        <v>7</v>
      </c>
      <c r="D35" s="93" t="str">
        <f>'Competitor''s Rate'!H27</f>
        <v>-</v>
      </c>
      <c r="E35" s="93">
        <f>'Competitor''s Rate'!I27</f>
        <v>243.28571428571428</v>
      </c>
      <c r="F35" s="93" t="str">
        <f>'Competitor''s Rate'!J27</f>
        <v>-</v>
      </c>
      <c r="G35" s="93">
        <f>'Competitor''s Rate'!K27</f>
        <v>92</v>
      </c>
      <c r="H35" s="93" t="str">
        <f>'Competitor''s Rate'!L27</f>
        <v>-</v>
      </c>
      <c r="I35" s="94">
        <f t="shared" si="0"/>
        <v>167.64285714285714</v>
      </c>
      <c r="J35" s="94">
        <f t="shared" si="6"/>
        <v>92</v>
      </c>
      <c r="K35" s="94">
        <f t="shared" si="2"/>
        <v>243.28571428571428</v>
      </c>
      <c r="L35" s="93" t="str">
        <f>IFERROR(_xlfn.XLOOKUP(P35,'Europcar rates'!G:G,'Europcar rates'!E:E),"-")</f>
        <v>-</v>
      </c>
      <c r="M35" s="95" t="str">
        <f t="shared" si="3"/>
        <v>-</v>
      </c>
      <c r="N35" s="96" t="str">
        <f t="shared" si="7"/>
        <v>⚪ Not Offered by Europcar</v>
      </c>
      <c r="O35" s="97" t="str">
        <f t="shared" si="5"/>
        <v>See opportunity analysis on dashboard</v>
      </c>
      <c r="P35" s="99" t="s">
        <v>69</v>
      </c>
    </row>
    <row r="36" spans="1:16" ht="46" customHeight="1" x14ac:dyDescent="0.2">
      <c r="A36" s="90" t="s">
        <v>22</v>
      </c>
      <c r="B36" s="91" t="s">
        <v>65</v>
      </c>
      <c r="C36" s="92" t="s">
        <v>10</v>
      </c>
      <c r="D36" s="93">
        <f>'Competitor''s Rate'!H28</f>
        <v>300</v>
      </c>
      <c r="E36" s="93">
        <f>'Competitor''s Rate'!I28</f>
        <v>290.28571428571428</v>
      </c>
      <c r="F36" s="93">
        <f>'Competitor''s Rate'!J28</f>
        <v>192.85714285714286</v>
      </c>
      <c r="G36" s="93">
        <f>'Competitor''s Rate'!K28</f>
        <v>208.71428571428572</v>
      </c>
      <c r="H36" s="93" t="str">
        <f>'Competitor''s Rate'!L28</f>
        <v>-</v>
      </c>
      <c r="I36" s="94">
        <f t="shared" si="0"/>
        <v>247.96428571428572</v>
      </c>
      <c r="J36" s="94">
        <f t="shared" si="6"/>
        <v>192.85714285714286</v>
      </c>
      <c r="K36" s="94">
        <f t="shared" si="2"/>
        <v>300</v>
      </c>
      <c r="L36" s="93" t="str">
        <f>IFERROR(_xlfn.XLOOKUP(P36,'Europcar rates'!G:G,'Europcar rates'!F:F),"-")</f>
        <v>-</v>
      </c>
      <c r="M36" s="95" t="str">
        <f t="shared" si="3"/>
        <v>-</v>
      </c>
      <c r="N36" s="96" t="str">
        <f t="shared" si="7"/>
        <v>⚪ Not Offered by Europcar</v>
      </c>
      <c r="O36" s="97" t="str">
        <f t="shared" si="5"/>
        <v>See opportunity analysis on dashboard</v>
      </c>
      <c r="P36" s="99" t="s">
        <v>69</v>
      </c>
    </row>
    <row r="37" spans="1:16" ht="46" customHeight="1" x14ac:dyDescent="0.2">
      <c r="A37" s="90" t="s">
        <v>24</v>
      </c>
      <c r="B37" s="91" t="s">
        <v>17</v>
      </c>
      <c r="C37" s="92" t="s">
        <v>8</v>
      </c>
      <c r="D37" s="93">
        <f>'Competitor''s Rate'!N7</f>
        <v>22.142857142857142</v>
      </c>
      <c r="E37" s="93">
        <f>'Competitor''s Rate'!O7</f>
        <v>23.571428571428573</v>
      </c>
      <c r="F37" s="93">
        <f>'Competitor''s Rate'!P7</f>
        <v>52.857142857142854</v>
      </c>
      <c r="G37" s="93">
        <f>'Competitor''s Rate'!Q7</f>
        <v>16.142857142857142</v>
      </c>
      <c r="H37" s="93">
        <f>'Competitor''s Rate'!R7</f>
        <v>32.571428571428569</v>
      </c>
      <c r="I37" s="94">
        <f t="shared" si="0"/>
        <v>29.457142857142856</v>
      </c>
      <c r="J37" s="94">
        <f t="shared" si="6"/>
        <v>16.142857142857142</v>
      </c>
      <c r="K37" s="94">
        <f t="shared" si="2"/>
        <v>52.857142857142854</v>
      </c>
      <c r="L37" s="93">
        <f>IFERROR(_xlfn.XLOOKUP(P37,'Europcar rates'!G:G,'Europcar rates'!C:C),"-")</f>
        <v>21.142857142857142</v>
      </c>
      <c r="M37" s="95">
        <f t="shared" si="3"/>
        <v>-0.28225024248302616</v>
      </c>
      <c r="N37" s="96" t="str">
        <f t="shared" si="7"/>
        <v>✅ Below Market</v>
      </c>
      <c r="O37" s="97" t="str">
        <f t="shared" si="5"/>
        <v>Hold — Room to Increase Rate</v>
      </c>
      <c r="P37" s="99" t="str">
        <f>'Europcar rates'!G14</f>
        <v>Shannon Airport | Economy (Small Car)</v>
      </c>
    </row>
    <row r="38" spans="1:16" ht="46" customHeight="1" x14ac:dyDescent="0.2">
      <c r="A38" s="90" t="s">
        <v>24</v>
      </c>
      <c r="B38" s="91" t="s">
        <v>17</v>
      </c>
      <c r="C38" s="92" t="s">
        <v>9</v>
      </c>
      <c r="D38" s="93">
        <f>'Competitor''s Rate'!N8</f>
        <v>37.142857142857146</v>
      </c>
      <c r="E38" s="93">
        <f>'Competitor''s Rate'!O8</f>
        <v>39.142857142857146</v>
      </c>
      <c r="F38" s="93">
        <f>'Competitor''s Rate'!P8</f>
        <v>68.714285714285708</v>
      </c>
      <c r="G38" s="93">
        <f>'Competitor''s Rate'!Q8</f>
        <v>30</v>
      </c>
      <c r="H38" s="93">
        <f>'Competitor''s Rate'!R8</f>
        <v>39.571428571428569</v>
      </c>
      <c r="I38" s="94">
        <f t="shared" si="0"/>
        <v>42.914285714285711</v>
      </c>
      <c r="J38" s="94">
        <f t="shared" si="6"/>
        <v>30</v>
      </c>
      <c r="K38" s="94">
        <f t="shared" si="2"/>
        <v>68.714285714285708</v>
      </c>
      <c r="L38" s="93">
        <f>IFERROR(_xlfn.XLOOKUP(P38,'Europcar rates'!G:G,'Europcar rates'!D:D),"-")</f>
        <v>35.428571428571431</v>
      </c>
      <c r="M38" s="95">
        <f t="shared" si="3"/>
        <v>-0.1744340878828228</v>
      </c>
      <c r="N38" s="96" t="str">
        <f t="shared" si="7"/>
        <v>✅ Below Market</v>
      </c>
      <c r="O38" s="97" t="str">
        <f t="shared" si="5"/>
        <v>Hold — Room to Increase Rate</v>
      </c>
      <c r="P38" s="99" t="s">
        <v>70</v>
      </c>
    </row>
    <row r="39" spans="1:16" ht="46" customHeight="1" x14ac:dyDescent="0.2">
      <c r="A39" s="90" t="s">
        <v>24</v>
      </c>
      <c r="B39" s="91" t="s">
        <v>17</v>
      </c>
      <c r="C39" s="92" t="s">
        <v>7</v>
      </c>
      <c r="D39" s="93">
        <f>'Competitor''s Rate'!N9</f>
        <v>26.285714285714285</v>
      </c>
      <c r="E39" s="93">
        <f>'Competitor''s Rate'!O9</f>
        <v>27.428571428571427</v>
      </c>
      <c r="F39" s="93">
        <f>'Competitor''s Rate'!P9</f>
        <v>52.857142857142854</v>
      </c>
      <c r="G39" s="93">
        <f>'Competitor''s Rate'!Q9</f>
        <v>21.428571428571427</v>
      </c>
      <c r="H39" s="93">
        <f>'Competitor''s Rate'!R9</f>
        <v>23.142857142857142</v>
      </c>
      <c r="I39" s="94">
        <f t="shared" si="0"/>
        <v>30.228571428571428</v>
      </c>
      <c r="J39" s="94">
        <f t="shared" si="6"/>
        <v>21.428571428571427</v>
      </c>
      <c r="K39" s="94">
        <f t="shared" si="2"/>
        <v>52.857142857142854</v>
      </c>
      <c r="L39" s="93">
        <f>IFERROR(_xlfn.XLOOKUP(P39,'Europcar rates'!G:G,'Europcar rates'!E:E),"-")</f>
        <v>25.142857142857142</v>
      </c>
      <c r="M39" s="95">
        <f t="shared" si="3"/>
        <v>-0.16824196597353497</v>
      </c>
      <c r="N39" s="96" t="str">
        <f t="shared" si="7"/>
        <v>✅ Below Market</v>
      </c>
      <c r="O39" s="97" t="str">
        <f t="shared" si="5"/>
        <v>Hold — Room to Increase Rate</v>
      </c>
      <c r="P39" s="99" t="s">
        <v>70</v>
      </c>
    </row>
    <row r="40" spans="1:16" ht="46" customHeight="1" x14ac:dyDescent="0.2">
      <c r="A40" s="90" t="s">
        <v>24</v>
      </c>
      <c r="B40" s="91" t="s">
        <v>17</v>
      </c>
      <c r="C40" s="92" t="s">
        <v>10</v>
      </c>
      <c r="D40" s="93">
        <f>'Competitor''s Rate'!N10</f>
        <v>45.428571428571431</v>
      </c>
      <c r="E40" s="93">
        <f>'Competitor''s Rate'!O10</f>
        <v>45.285714285714285</v>
      </c>
      <c r="F40" s="93">
        <f>'Competitor''s Rate'!P10</f>
        <v>110.85714285714286</v>
      </c>
      <c r="G40" s="93">
        <f>'Competitor''s Rate'!Q10</f>
        <v>37.571428571428569</v>
      </c>
      <c r="H40" s="93">
        <f>'Competitor''s Rate'!R10</f>
        <v>37.714285714285715</v>
      </c>
      <c r="I40" s="94">
        <f t="shared" si="0"/>
        <v>55.371428571428581</v>
      </c>
      <c r="J40" s="94">
        <f t="shared" si="6"/>
        <v>37.571428571428569</v>
      </c>
      <c r="K40" s="94">
        <f t="shared" si="2"/>
        <v>110.85714285714286</v>
      </c>
      <c r="L40" s="93">
        <f>IFERROR(_xlfn.XLOOKUP(P40,'Europcar rates'!G:G,'Europcar rates'!F:F),"-")</f>
        <v>43.285714285714285</v>
      </c>
      <c r="M40" s="95">
        <f t="shared" si="3"/>
        <v>-0.2182662538699692</v>
      </c>
      <c r="N40" s="96" t="str">
        <f t="shared" si="7"/>
        <v>✅ Below Market</v>
      </c>
      <c r="O40" s="97" t="str">
        <f t="shared" si="5"/>
        <v>Hold — Room to Increase Rate</v>
      </c>
      <c r="P40" s="99" t="s">
        <v>70</v>
      </c>
    </row>
    <row r="41" spans="1:16" ht="46" customHeight="1" x14ac:dyDescent="0.2">
      <c r="A41" s="90" t="s">
        <v>24</v>
      </c>
      <c r="B41" s="91" t="s">
        <v>18</v>
      </c>
      <c r="C41" s="92" t="s">
        <v>8</v>
      </c>
      <c r="D41" s="93">
        <f>'Competitor''s Rate'!N13</f>
        <v>25</v>
      </c>
      <c r="E41" s="93">
        <f>'Competitor''s Rate'!O13</f>
        <v>25.714285714285715</v>
      </c>
      <c r="F41" s="93">
        <f>'Competitor''s Rate'!P13</f>
        <v>58.428571428571431</v>
      </c>
      <c r="G41" s="93">
        <f>'Competitor''s Rate'!Q13</f>
        <v>19</v>
      </c>
      <c r="H41" s="93">
        <f>'Competitor''s Rate'!R13</f>
        <v>35.571428571428569</v>
      </c>
      <c r="I41" s="94">
        <f t="shared" si="0"/>
        <v>32.742857142857147</v>
      </c>
      <c r="J41" s="94">
        <f t="shared" si="6"/>
        <v>19</v>
      </c>
      <c r="K41" s="94">
        <f t="shared" si="2"/>
        <v>58.428571428571431</v>
      </c>
      <c r="L41" s="93">
        <f>IFERROR(_xlfn.XLOOKUP(P41,'Europcar rates'!G:G,'Europcar rates'!C:C),"-")</f>
        <v>23.857142857142858</v>
      </c>
      <c r="M41" s="95">
        <f t="shared" si="3"/>
        <v>-0.27137870855148349</v>
      </c>
      <c r="N41" s="96" t="str">
        <f t="shared" si="7"/>
        <v>✅ Below Market</v>
      </c>
      <c r="O41" s="97" t="str">
        <f t="shared" si="5"/>
        <v>Hold — Room to Increase Rate</v>
      </c>
      <c r="P41" s="99" t="str">
        <f>'Europcar rates'!G15</f>
        <v>Shannon Airport | Compact (Medium Car)</v>
      </c>
    </row>
    <row r="42" spans="1:16" ht="46" customHeight="1" x14ac:dyDescent="0.2">
      <c r="A42" s="90" t="s">
        <v>24</v>
      </c>
      <c r="B42" s="91" t="s">
        <v>18</v>
      </c>
      <c r="C42" s="92" t="s">
        <v>9</v>
      </c>
      <c r="D42" s="93">
        <f>'Competitor''s Rate'!N14</f>
        <v>40</v>
      </c>
      <c r="E42" s="93">
        <f>'Competitor''s Rate'!O14</f>
        <v>42</v>
      </c>
      <c r="F42" s="93">
        <f>'Competitor''s Rate'!P14</f>
        <v>82.857142857142861</v>
      </c>
      <c r="G42" s="93">
        <f>'Competitor''s Rate'!Q14</f>
        <v>32.857142857142854</v>
      </c>
      <c r="H42" s="93">
        <f>'Competitor''s Rate'!R14</f>
        <v>43.428571428571431</v>
      </c>
      <c r="I42" s="94">
        <f t="shared" si="0"/>
        <v>48.228571428571435</v>
      </c>
      <c r="J42" s="94">
        <f t="shared" si="6"/>
        <v>32.857142857142854</v>
      </c>
      <c r="K42" s="94">
        <f t="shared" si="2"/>
        <v>82.857142857142861</v>
      </c>
      <c r="L42" s="93">
        <f>IFERROR(_xlfn.XLOOKUP(P42,'Europcar rates'!G:G,'Europcar rates'!D:D),"-")</f>
        <v>38</v>
      </c>
      <c r="M42" s="95">
        <f t="shared" si="3"/>
        <v>-0.21208530805687215</v>
      </c>
      <c r="N42" s="96" t="str">
        <f t="shared" si="7"/>
        <v>✅ Below Market</v>
      </c>
      <c r="O42" s="97" t="str">
        <f t="shared" si="5"/>
        <v>Hold — Room to Increase Rate</v>
      </c>
      <c r="P42" s="99" t="s">
        <v>71</v>
      </c>
    </row>
    <row r="43" spans="1:16" ht="46" customHeight="1" x14ac:dyDescent="0.2">
      <c r="A43" s="90" t="s">
        <v>24</v>
      </c>
      <c r="B43" s="91" t="s">
        <v>18</v>
      </c>
      <c r="C43" s="92" t="s">
        <v>7</v>
      </c>
      <c r="D43" s="93">
        <f>'Competitor''s Rate'!N15</f>
        <v>28.571428571428573</v>
      </c>
      <c r="E43" s="93">
        <f>'Competitor''s Rate'!O15</f>
        <v>28.428571428571427</v>
      </c>
      <c r="F43" s="93">
        <f>'Competitor''s Rate'!P15</f>
        <v>58.428571428571431</v>
      </c>
      <c r="G43" s="93">
        <f>'Competitor''s Rate'!Q15</f>
        <v>24</v>
      </c>
      <c r="H43" s="93">
        <f>'Competitor''s Rate'!R15</f>
        <v>25.285714285714285</v>
      </c>
      <c r="I43" s="94">
        <f t="shared" si="0"/>
        <v>32.942857142857143</v>
      </c>
      <c r="J43" s="94">
        <f t="shared" si="6"/>
        <v>24</v>
      </c>
      <c r="K43" s="94">
        <f t="shared" si="2"/>
        <v>58.428571428571431</v>
      </c>
      <c r="L43" s="93">
        <f>IFERROR(_xlfn.XLOOKUP(P43,'Europcar rates'!G:G,'Europcar rates'!E:E),"-")</f>
        <v>27.142857142857142</v>
      </c>
      <c r="M43" s="95">
        <f t="shared" si="3"/>
        <v>-0.17606244579358199</v>
      </c>
      <c r="N43" s="96" t="str">
        <f t="shared" si="7"/>
        <v>✅ Below Market</v>
      </c>
      <c r="O43" s="97" t="str">
        <f t="shared" si="5"/>
        <v>Hold — Room to Increase Rate</v>
      </c>
      <c r="P43" s="99" t="s">
        <v>71</v>
      </c>
    </row>
    <row r="44" spans="1:16" ht="46" customHeight="1" x14ac:dyDescent="0.2">
      <c r="A44" s="90" t="s">
        <v>24</v>
      </c>
      <c r="B44" s="91" t="s">
        <v>18</v>
      </c>
      <c r="C44" s="92" t="s">
        <v>10</v>
      </c>
      <c r="D44" s="93">
        <f>'Competitor''s Rate'!N16</f>
        <v>49.285714285714285</v>
      </c>
      <c r="E44" s="93">
        <f>'Competitor''s Rate'!O16</f>
        <v>49.285714285714285</v>
      </c>
      <c r="F44" s="93">
        <f>'Competitor''s Rate'!P16</f>
        <v>116.14285714285714</v>
      </c>
      <c r="G44" s="93">
        <f>'Competitor''s Rate'!Q16</f>
        <v>50</v>
      </c>
      <c r="H44" s="93">
        <f>'Competitor''s Rate'!R16</f>
        <v>41.428571428571431</v>
      </c>
      <c r="I44" s="94">
        <f t="shared" si="0"/>
        <v>61.228571428571435</v>
      </c>
      <c r="J44" s="94">
        <f t="shared" si="6"/>
        <v>41.428571428571431</v>
      </c>
      <c r="K44" s="94">
        <f t="shared" si="2"/>
        <v>116.14285714285714</v>
      </c>
      <c r="L44" s="93">
        <f>IFERROR(_xlfn.XLOOKUP(P44,'Europcar rates'!G:G,'Europcar rates'!F:F),"-")</f>
        <v>47</v>
      </c>
      <c r="M44" s="95">
        <f t="shared" si="3"/>
        <v>-0.23238450769948679</v>
      </c>
      <c r="N44" s="96" t="str">
        <f>IF(L44="-","⚪ Not Offered by Europcar",IF(L44&lt;=I44*0.9,"✅ Below Market",IF(L44&lt;=I44*1.1,"🟡 At Market","🔴 Above Market")))</f>
        <v>✅ Below Market</v>
      </c>
      <c r="O44" s="97" t="str">
        <f t="shared" si="5"/>
        <v>Hold — Room to Increase Rate</v>
      </c>
      <c r="P44" s="99" t="s">
        <v>71</v>
      </c>
    </row>
    <row r="45" spans="1:16" ht="46" customHeight="1" x14ac:dyDescent="0.2">
      <c r="A45" s="90" t="s">
        <v>24</v>
      </c>
      <c r="B45" s="91" t="s">
        <v>5</v>
      </c>
      <c r="C45" s="92" t="s">
        <v>8</v>
      </c>
      <c r="D45" s="93">
        <f>'Competitor''s Rate'!N19</f>
        <v>26.428571428571427</v>
      </c>
      <c r="E45" s="93">
        <f>'Competitor''s Rate'!O19</f>
        <v>27.142857142857142</v>
      </c>
      <c r="F45" s="93">
        <f>'Competitor''s Rate'!P19</f>
        <v>61.285714285714285</v>
      </c>
      <c r="G45" s="93">
        <f>'Competitor''s Rate'!Q19</f>
        <v>24.142857142857142</v>
      </c>
      <c r="H45" s="93">
        <f>'Competitor''s Rate'!R19</f>
        <v>36.142857142857146</v>
      </c>
      <c r="I45" s="94">
        <f t="shared" si="0"/>
        <v>35.028571428571425</v>
      </c>
      <c r="J45" s="94">
        <f t="shared" si="6"/>
        <v>24.142857142857142</v>
      </c>
      <c r="K45" s="94">
        <f t="shared" si="2"/>
        <v>61.285714285714285</v>
      </c>
      <c r="L45" s="93">
        <f>IFERROR(_xlfn.XLOOKUP(P45,'Europcar rates'!G:G,'Europcar rates'!C:C),"-")</f>
        <v>29.571428571428573</v>
      </c>
      <c r="M45" s="95">
        <f t="shared" si="3"/>
        <v>-0.15579119086460019</v>
      </c>
      <c r="N45" s="96" t="str">
        <f t="shared" si="7"/>
        <v>✅ Below Market</v>
      </c>
      <c r="O45" s="97" t="str">
        <f t="shared" si="5"/>
        <v>Hold — Room to Increase Rate</v>
      </c>
      <c r="P45" s="99" t="str">
        <f>'Europcar rates'!G16</f>
        <v>Shannon Airport | SUV</v>
      </c>
    </row>
    <row r="46" spans="1:16" ht="46" customHeight="1" x14ac:dyDescent="0.2">
      <c r="A46" s="90" t="s">
        <v>24</v>
      </c>
      <c r="B46" s="91" t="s">
        <v>5</v>
      </c>
      <c r="C46" s="92" t="s">
        <v>9</v>
      </c>
      <c r="D46" s="93">
        <f>'Competitor''s Rate'!N20</f>
        <v>47.857142857142854</v>
      </c>
      <c r="E46" s="93">
        <f>'Competitor''s Rate'!O20</f>
        <v>51.285714285714285</v>
      </c>
      <c r="F46" s="93">
        <f>'Competitor''s Rate'!P20</f>
        <v>92</v>
      </c>
      <c r="G46" s="93">
        <f>'Competitor''s Rate'!Q20</f>
        <v>58.142857142857146</v>
      </c>
      <c r="H46" s="93">
        <f>'Competitor''s Rate'!R20</f>
        <v>43.571428571428569</v>
      </c>
      <c r="I46" s="94">
        <f t="shared" si="0"/>
        <v>58.571428571428569</v>
      </c>
      <c r="J46" s="94">
        <f t="shared" si="6"/>
        <v>43.571428571428569</v>
      </c>
      <c r="K46" s="94">
        <f t="shared" si="2"/>
        <v>92</v>
      </c>
      <c r="L46" s="93">
        <f>IFERROR(_xlfn.XLOOKUP(P46,'Europcar rates'!G:G,'Europcar rates'!D:D),"-")</f>
        <v>45.142857142857146</v>
      </c>
      <c r="M46" s="95">
        <f t="shared" si="3"/>
        <v>-0.22926829268292676</v>
      </c>
      <c r="N46" s="96" t="str">
        <f t="shared" si="7"/>
        <v>✅ Below Market</v>
      </c>
      <c r="O46" s="97" t="str">
        <f t="shared" si="5"/>
        <v>Hold — Room to Increase Rate</v>
      </c>
      <c r="P46" s="99" t="s">
        <v>72</v>
      </c>
    </row>
    <row r="47" spans="1:16" ht="46" customHeight="1" x14ac:dyDescent="0.2">
      <c r="A47" s="90" t="s">
        <v>24</v>
      </c>
      <c r="B47" s="91" t="s">
        <v>5</v>
      </c>
      <c r="C47" s="92" t="s">
        <v>7</v>
      </c>
      <c r="D47" s="93">
        <f>'Competitor''s Rate'!N21</f>
        <v>30</v>
      </c>
      <c r="E47" s="93">
        <f>'Competitor''s Rate'!O21</f>
        <v>29.857142857142858</v>
      </c>
      <c r="F47" s="93">
        <f>'Competitor''s Rate'!P21</f>
        <v>61.285714285714285</v>
      </c>
      <c r="G47" s="93">
        <f>'Competitor''s Rate'!Q21</f>
        <v>30.857142857142858</v>
      </c>
      <c r="H47" s="93">
        <f>'Competitor''s Rate'!R21</f>
        <v>27</v>
      </c>
      <c r="I47" s="94">
        <f t="shared" si="0"/>
        <v>35.799999999999997</v>
      </c>
      <c r="J47" s="94">
        <f t="shared" si="6"/>
        <v>27</v>
      </c>
      <c r="K47" s="94">
        <f t="shared" si="2"/>
        <v>61.285714285714285</v>
      </c>
      <c r="L47" s="93">
        <f>IFERROR(_xlfn.XLOOKUP(P47,'Europcar rates'!G:G,'Europcar rates'!E:E),"-")</f>
        <v>32.428571428571431</v>
      </c>
      <c r="M47" s="95">
        <f t="shared" si="3"/>
        <v>-9.4173982442138732E-2</v>
      </c>
      <c r="N47" s="96" t="str">
        <f t="shared" si="7"/>
        <v>🟡 At Market</v>
      </c>
      <c r="O47" s="97" t="str">
        <f t="shared" si="5"/>
        <v>Hold — Well Positioned</v>
      </c>
      <c r="P47" s="99" t="s">
        <v>72</v>
      </c>
    </row>
    <row r="48" spans="1:16" ht="46" customHeight="1" x14ac:dyDescent="0.2">
      <c r="A48" s="90" t="s">
        <v>24</v>
      </c>
      <c r="B48" s="91" t="s">
        <v>5</v>
      </c>
      <c r="C48" s="92" t="s">
        <v>10</v>
      </c>
      <c r="D48" s="93">
        <f>'Competitor''s Rate'!N22</f>
        <v>57.857142857142854</v>
      </c>
      <c r="E48" s="93">
        <f>'Competitor''s Rate'!O22</f>
        <v>57.857142857142854</v>
      </c>
      <c r="F48" s="93">
        <f>'Competitor''s Rate'!P22</f>
        <v>128</v>
      </c>
      <c r="G48" s="93">
        <f>'Competitor''s Rate'!Q22</f>
        <v>65.142857142857139</v>
      </c>
      <c r="H48" s="93">
        <f>'Competitor''s Rate'!R22</f>
        <v>43.571428571428569</v>
      </c>
      <c r="I48" s="94">
        <f t="shared" si="0"/>
        <v>70.485714285714295</v>
      </c>
      <c r="J48" s="94">
        <f t="shared" si="6"/>
        <v>43.571428571428569</v>
      </c>
      <c r="K48" s="94">
        <f t="shared" si="2"/>
        <v>128</v>
      </c>
      <c r="L48" s="93">
        <f>IFERROR(_xlfn.XLOOKUP(P48,'Europcar rates'!G:G,'Europcar rates'!F:F),"-")</f>
        <v>55</v>
      </c>
      <c r="M48" s="95">
        <f t="shared" si="3"/>
        <v>-0.21970004053506292</v>
      </c>
      <c r="N48" s="96" t="str">
        <f t="shared" si="7"/>
        <v>✅ Below Market</v>
      </c>
      <c r="O48" s="97" t="str">
        <f t="shared" si="5"/>
        <v>Hold — Room to Increase Rate</v>
      </c>
      <c r="P48" s="99" t="s">
        <v>72</v>
      </c>
    </row>
    <row r="49" spans="1:16" ht="46" customHeight="1" x14ac:dyDescent="0.2">
      <c r="A49" s="90" t="s">
        <v>24</v>
      </c>
      <c r="B49" s="91" t="s">
        <v>65</v>
      </c>
      <c r="C49" s="92" t="s">
        <v>8</v>
      </c>
      <c r="D49" s="93" t="str">
        <f>'Competitor''s Rate'!N25</f>
        <v>-</v>
      </c>
      <c r="E49" s="93">
        <f>'Competitor''s Rate'!O25</f>
        <v>192.85714285714286</v>
      </c>
      <c r="F49" s="93" t="str">
        <f>'Competitor''s Rate'!P25</f>
        <v>-</v>
      </c>
      <c r="G49" s="93">
        <f>'Competitor''s Rate'!Q25</f>
        <v>104.28571428571429</v>
      </c>
      <c r="H49" s="93" t="str">
        <f>'Competitor''s Rate'!R25</f>
        <v>-</v>
      </c>
      <c r="I49" s="94">
        <f t="shared" si="0"/>
        <v>148.57142857142858</v>
      </c>
      <c r="J49" s="94">
        <f t="shared" si="6"/>
        <v>104.28571428571429</v>
      </c>
      <c r="K49" s="94">
        <f t="shared" si="2"/>
        <v>192.85714285714286</v>
      </c>
      <c r="L49" s="93" t="str">
        <f>IFERROR(_xlfn.XLOOKUP(P49,'Europcar rates'!G:G,'Europcar rates'!C:C),"-")</f>
        <v>-</v>
      </c>
      <c r="M49" s="95" t="str">
        <f t="shared" si="3"/>
        <v>-</v>
      </c>
      <c r="N49" s="96" t="str">
        <f t="shared" si="7"/>
        <v>⚪ Not Offered by Europcar</v>
      </c>
      <c r="O49" s="97" t="str">
        <f t="shared" si="5"/>
        <v>See opportunity analysis on dashboard</v>
      </c>
      <c r="P49" s="99" t="str">
        <f>'Europcar rates'!G17</f>
        <v>Shannon Airport | People carrier</v>
      </c>
    </row>
    <row r="50" spans="1:16" ht="46" customHeight="1" x14ac:dyDescent="0.2">
      <c r="A50" s="90" t="s">
        <v>24</v>
      </c>
      <c r="B50" s="91" t="s">
        <v>65</v>
      </c>
      <c r="C50" s="92" t="s">
        <v>9</v>
      </c>
      <c r="D50" s="93">
        <f>'Competitor''s Rate'!N26</f>
        <v>555</v>
      </c>
      <c r="E50" s="93">
        <f>'Competitor''s Rate'!O26</f>
        <v>221.42857142857142</v>
      </c>
      <c r="F50" s="93">
        <f>'Competitor''s Rate'!P26</f>
        <v>179.42857142857142</v>
      </c>
      <c r="G50" s="93">
        <f>'Competitor''s Rate'!Q26</f>
        <v>430.42857142857144</v>
      </c>
      <c r="H50" s="93" t="str">
        <f>'Competitor''s Rate'!R26</f>
        <v>-</v>
      </c>
      <c r="I50" s="94">
        <f t="shared" si="0"/>
        <v>346.57142857142856</v>
      </c>
      <c r="J50" s="94">
        <f t="shared" si="6"/>
        <v>179.42857142857142</v>
      </c>
      <c r="K50" s="94">
        <f t="shared" si="2"/>
        <v>555</v>
      </c>
      <c r="L50" s="93" t="str">
        <f>IFERROR(_xlfn.XLOOKUP(P50,'Europcar rates'!G:G,'Europcar rates'!D:D),"-")</f>
        <v>-</v>
      </c>
      <c r="M50" s="95" t="str">
        <f t="shared" si="3"/>
        <v>-</v>
      </c>
      <c r="N50" s="96" t="str">
        <f t="shared" si="7"/>
        <v>⚪ Not Offered by Europcar</v>
      </c>
      <c r="O50" s="97" t="str">
        <f t="shared" si="5"/>
        <v>See opportunity analysis on dashboard</v>
      </c>
      <c r="P50" s="99" t="s">
        <v>73</v>
      </c>
    </row>
    <row r="51" spans="1:16" ht="46" customHeight="1" x14ac:dyDescent="0.2">
      <c r="A51" s="90" t="s">
        <v>24</v>
      </c>
      <c r="B51" s="91" t="s">
        <v>65</v>
      </c>
      <c r="C51" s="92" t="s">
        <v>7</v>
      </c>
      <c r="D51" s="93" t="str">
        <f>'Competitor''s Rate'!N27</f>
        <v>-</v>
      </c>
      <c r="E51" s="93">
        <f>'Competitor''s Rate'!O27</f>
        <v>243.28571428571428</v>
      </c>
      <c r="F51" s="93" t="str">
        <f>'Competitor''s Rate'!P27</f>
        <v>-</v>
      </c>
      <c r="G51" s="93">
        <f>'Competitor''s Rate'!Q27</f>
        <v>92</v>
      </c>
      <c r="H51" s="93" t="str">
        <f>'Competitor''s Rate'!R27</f>
        <v>-</v>
      </c>
      <c r="I51" s="94">
        <f t="shared" si="0"/>
        <v>167.64285714285714</v>
      </c>
      <c r="J51" s="94">
        <f t="shared" si="6"/>
        <v>92</v>
      </c>
      <c r="K51" s="94">
        <f t="shared" si="2"/>
        <v>243.28571428571428</v>
      </c>
      <c r="L51" s="93" t="str">
        <f>IFERROR(_xlfn.XLOOKUP(P51,'Europcar rates'!G:G,'Europcar rates'!E:E),"-")</f>
        <v>-</v>
      </c>
      <c r="M51" s="95" t="str">
        <f t="shared" si="3"/>
        <v>-</v>
      </c>
      <c r="N51" s="96" t="str">
        <f t="shared" si="7"/>
        <v>⚪ Not Offered by Europcar</v>
      </c>
      <c r="O51" s="97" t="str">
        <f t="shared" si="5"/>
        <v>See opportunity analysis on dashboard</v>
      </c>
      <c r="P51" s="99" t="s">
        <v>73</v>
      </c>
    </row>
    <row r="52" spans="1:16" ht="46" customHeight="1" x14ac:dyDescent="0.2">
      <c r="A52" s="90" t="s">
        <v>24</v>
      </c>
      <c r="B52" s="91" t="s">
        <v>65</v>
      </c>
      <c r="C52" s="92" t="s">
        <v>10</v>
      </c>
      <c r="D52" s="93">
        <f>'Competitor''s Rate'!N28</f>
        <v>300</v>
      </c>
      <c r="E52" s="93">
        <f>'Competitor''s Rate'!O28</f>
        <v>290.28571428571428</v>
      </c>
      <c r="F52" s="93">
        <f>'Competitor''s Rate'!P28</f>
        <v>251.14285714285714</v>
      </c>
      <c r="G52" s="93">
        <f>'Competitor''s Rate'!Q28</f>
        <v>208.71428571428572</v>
      </c>
      <c r="H52" s="93" t="str">
        <f>'Competitor''s Rate'!R28</f>
        <v>-</v>
      </c>
      <c r="I52" s="94">
        <f t="shared" si="0"/>
        <v>262.53571428571428</v>
      </c>
      <c r="J52" s="94">
        <f t="shared" si="6"/>
        <v>208.71428571428572</v>
      </c>
      <c r="K52" s="94">
        <f t="shared" si="2"/>
        <v>300</v>
      </c>
      <c r="L52" s="93" t="str">
        <f>IFERROR(_xlfn.XLOOKUP(P52,'Europcar rates'!G:G,'Europcar rates'!F:F),"-")</f>
        <v>-</v>
      </c>
      <c r="M52" s="95" t="str">
        <f t="shared" si="3"/>
        <v>-</v>
      </c>
      <c r="N52" s="96" t="str">
        <f t="shared" si="7"/>
        <v>⚪ Not Offered by Europcar</v>
      </c>
      <c r="O52" s="97" t="str">
        <f t="shared" si="5"/>
        <v>See opportunity analysis on dashboard</v>
      </c>
      <c r="P52" s="99" t="s">
        <v>73</v>
      </c>
    </row>
    <row r="53" spans="1:16" ht="46" customHeight="1" x14ac:dyDescent="0.2">
      <c r="A53" s="90" t="s">
        <v>27</v>
      </c>
      <c r="B53" s="91" t="s">
        <v>17</v>
      </c>
      <c r="C53" s="92" t="s">
        <v>8</v>
      </c>
      <c r="D53" s="93" t="str">
        <f>'Competitor''s Rate'!T7</f>
        <v>-</v>
      </c>
      <c r="E53" s="93" t="str">
        <f>'Competitor''s Rate'!U7</f>
        <v>-</v>
      </c>
      <c r="F53" s="93">
        <f>'Competitor''s Rate'!V7</f>
        <v>40.142857142857146</v>
      </c>
      <c r="G53" s="93">
        <f>'Competitor''s Rate'!W7</f>
        <v>33.285714285714285</v>
      </c>
      <c r="H53" s="93" t="str">
        <f>'Competitor''s Rate'!X7</f>
        <v>-</v>
      </c>
      <c r="I53" s="94">
        <f t="shared" si="0"/>
        <v>36.714285714285715</v>
      </c>
      <c r="J53" s="94">
        <f t="shared" si="6"/>
        <v>33.285714285714285</v>
      </c>
      <c r="K53" s="94">
        <f t="shared" si="2"/>
        <v>40.142857142857146</v>
      </c>
      <c r="L53" s="93">
        <f>IFERROR(_xlfn.XLOOKUP(P53,'Europcar rates'!G:G,'Europcar rates'!C:C),"-")</f>
        <v>23</v>
      </c>
      <c r="M53" s="95">
        <f t="shared" si="3"/>
        <v>-0.37354085603112841</v>
      </c>
      <c r="N53" s="96" t="str">
        <f t="shared" si="7"/>
        <v>✅ Below Market</v>
      </c>
      <c r="O53" s="97" t="str">
        <f t="shared" si="5"/>
        <v>Hold — Room to Increase Rate</v>
      </c>
      <c r="P53" s="99" t="str">
        <f>'Europcar rates'!G19</f>
        <v>Galway | Economy (Small Car)</v>
      </c>
    </row>
    <row r="54" spans="1:16" ht="46" customHeight="1" x14ac:dyDescent="0.2">
      <c r="A54" s="90" t="s">
        <v>27</v>
      </c>
      <c r="B54" s="91" t="s">
        <v>17</v>
      </c>
      <c r="C54" s="92" t="s">
        <v>9</v>
      </c>
      <c r="D54" s="93" t="str">
        <f>'Competitor''s Rate'!T8</f>
        <v>-</v>
      </c>
      <c r="E54" s="93" t="str">
        <f>'Competitor''s Rate'!U8</f>
        <v>-</v>
      </c>
      <c r="F54" s="93">
        <f>'Competitor''s Rate'!V8</f>
        <v>44</v>
      </c>
      <c r="G54" s="93">
        <f>'Competitor''s Rate'!W8</f>
        <v>53.857142857142854</v>
      </c>
      <c r="H54" s="93" t="str">
        <f>'Competitor''s Rate'!X8</f>
        <v>-</v>
      </c>
      <c r="I54" s="94">
        <f t="shared" si="0"/>
        <v>48.928571428571431</v>
      </c>
      <c r="J54" s="94">
        <f t="shared" si="6"/>
        <v>44</v>
      </c>
      <c r="K54" s="94">
        <f t="shared" si="2"/>
        <v>53.857142857142854</v>
      </c>
      <c r="L54" s="93">
        <f>IFERROR(_xlfn.XLOOKUP(P54,'Europcar rates'!G:G,'Europcar rates'!D:D),"-")</f>
        <v>37.285714285714285</v>
      </c>
      <c r="M54" s="95">
        <f t="shared" si="3"/>
        <v>-0.23795620437956211</v>
      </c>
      <c r="N54" s="96" t="str">
        <f t="shared" si="7"/>
        <v>✅ Below Market</v>
      </c>
      <c r="O54" s="97" t="str">
        <f t="shared" si="5"/>
        <v>Hold — Room to Increase Rate</v>
      </c>
      <c r="P54" s="99" t="s">
        <v>74</v>
      </c>
    </row>
    <row r="55" spans="1:16" ht="46" customHeight="1" x14ac:dyDescent="0.2">
      <c r="A55" s="90" t="s">
        <v>27</v>
      </c>
      <c r="B55" s="91" t="s">
        <v>17</v>
      </c>
      <c r="C55" s="92" t="s">
        <v>7</v>
      </c>
      <c r="D55" s="93" t="str">
        <f>'Competitor''s Rate'!T9</f>
        <v>-</v>
      </c>
      <c r="E55" s="93" t="str">
        <f>'Competitor''s Rate'!U9</f>
        <v>-</v>
      </c>
      <c r="F55" s="93">
        <f>'Competitor''s Rate'!V9</f>
        <v>40.142857142857146</v>
      </c>
      <c r="G55" s="93">
        <f>'Competitor''s Rate'!W9</f>
        <v>64.714285714285708</v>
      </c>
      <c r="H55" s="93" t="str">
        <f>'Competitor''s Rate'!X9</f>
        <v>-</v>
      </c>
      <c r="I55" s="94">
        <f t="shared" si="0"/>
        <v>52.428571428571431</v>
      </c>
      <c r="J55" s="94">
        <f t="shared" si="6"/>
        <v>40.142857142857146</v>
      </c>
      <c r="K55" s="94">
        <f t="shared" si="2"/>
        <v>64.714285714285708</v>
      </c>
      <c r="L55" s="93">
        <f>IFERROR(_xlfn.XLOOKUP(P55,'Europcar rates'!G:G,'Europcar rates'!E:E),"-")</f>
        <v>27.571428571428573</v>
      </c>
      <c r="M55" s="95">
        <f t="shared" si="3"/>
        <v>-0.47411444141689374</v>
      </c>
      <c r="N55" s="96" t="str">
        <f t="shared" si="7"/>
        <v>✅ Below Market</v>
      </c>
      <c r="O55" s="97" t="str">
        <f t="shared" si="5"/>
        <v>Hold — Room to Increase Rate</v>
      </c>
      <c r="P55" s="99" t="s">
        <v>74</v>
      </c>
    </row>
    <row r="56" spans="1:16" ht="46" customHeight="1" x14ac:dyDescent="0.2">
      <c r="A56" s="90" t="s">
        <v>27</v>
      </c>
      <c r="B56" s="91" t="s">
        <v>17</v>
      </c>
      <c r="C56" s="92" t="s">
        <v>10</v>
      </c>
      <c r="D56" s="93" t="str">
        <f>'Competitor''s Rate'!T10</f>
        <v>-</v>
      </c>
      <c r="E56" s="93" t="str">
        <f>'Competitor''s Rate'!U10</f>
        <v>-</v>
      </c>
      <c r="F56" s="93">
        <f>'Competitor''s Rate'!V10</f>
        <v>44</v>
      </c>
      <c r="G56" s="93">
        <f>'Competitor''s Rate'!W10</f>
        <v>117.42857142857143</v>
      </c>
      <c r="H56" s="93" t="str">
        <f>'Competitor''s Rate'!X10</f>
        <v>-</v>
      </c>
      <c r="I56" s="94">
        <f t="shared" si="0"/>
        <v>80.714285714285722</v>
      </c>
      <c r="J56" s="94">
        <f t="shared" si="6"/>
        <v>44</v>
      </c>
      <c r="K56" s="94">
        <f t="shared" si="2"/>
        <v>117.42857142857143</v>
      </c>
      <c r="L56" s="93">
        <f>IFERROR(_xlfn.XLOOKUP(P56,'Europcar rates'!G:G,'Europcar rates'!F:F),"-")</f>
        <v>45.428571428571431</v>
      </c>
      <c r="M56" s="95">
        <f t="shared" si="3"/>
        <v>-0.43716814159292039</v>
      </c>
      <c r="N56" s="96" t="str">
        <f t="shared" si="7"/>
        <v>✅ Below Market</v>
      </c>
      <c r="O56" s="97" t="str">
        <f t="shared" si="5"/>
        <v>Hold — Room to Increase Rate</v>
      </c>
      <c r="P56" s="99" t="s">
        <v>74</v>
      </c>
    </row>
    <row r="57" spans="1:16" ht="46" customHeight="1" x14ac:dyDescent="0.2">
      <c r="A57" s="90" t="s">
        <v>27</v>
      </c>
      <c r="B57" s="91" t="s">
        <v>18</v>
      </c>
      <c r="C57" s="92" t="s">
        <v>8</v>
      </c>
      <c r="D57" s="93" t="str">
        <f>'Competitor''s Rate'!T13</f>
        <v>-</v>
      </c>
      <c r="E57" s="93" t="str">
        <f>'Competitor''s Rate'!U13</f>
        <v>-</v>
      </c>
      <c r="F57" s="93">
        <f>'Competitor''s Rate'!V13</f>
        <v>44.142857142857146</v>
      </c>
      <c r="G57" s="93">
        <f>'Competitor''s Rate'!W13</f>
        <v>39.857142857142854</v>
      </c>
      <c r="H57" s="93" t="str">
        <f>'Competitor''s Rate'!X13</f>
        <v>-</v>
      </c>
      <c r="I57" s="94">
        <f t="shared" si="0"/>
        <v>42</v>
      </c>
      <c r="J57" s="94">
        <f t="shared" si="6"/>
        <v>39.857142857142854</v>
      </c>
      <c r="K57" s="94">
        <f t="shared" si="2"/>
        <v>44.142857142857146</v>
      </c>
      <c r="L57" s="93">
        <f>IFERROR(_xlfn.XLOOKUP(P57,'Europcar rates'!G:G,'Europcar rates'!C:C),"-")</f>
        <v>25.142857142857142</v>
      </c>
      <c r="M57" s="95">
        <f t="shared" si="3"/>
        <v>-0.40136054421768708</v>
      </c>
      <c r="N57" s="96" t="str">
        <f>IF(L57="-","⚪ Not Offered by Europcar",IF(L57&lt;=I57*0.9,"✅ Below Market",IF(L57&lt;=I57*1.1,"🟡 At Market","🔴 Above Market")))</f>
        <v>✅ Below Market</v>
      </c>
      <c r="O57" s="97" t="str">
        <f t="shared" si="5"/>
        <v>Hold — Room to Increase Rate</v>
      </c>
      <c r="P57" s="99" t="str">
        <f>'Europcar rates'!G20</f>
        <v>Galway | Compact (Medium Car)</v>
      </c>
    </row>
    <row r="58" spans="1:16" ht="46" customHeight="1" x14ac:dyDescent="0.2">
      <c r="A58" s="90" t="s">
        <v>27</v>
      </c>
      <c r="B58" s="91" t="s">
        <v>18</v>
      </c>
      <c r="C58" s="92" t="s">
        <v>9</v>
      </c>
      <c r="D58" s="93" t="str">
        <f>'Competitor''s Rate'!T14</f>
        <v>-</v>
      </c>
      <c r="E58" s="93" t="str">
        <f>'Competitor''s Rate'!U14</f>
        <v>-</v>
      </c>
      <c r="F58" s="93">
        <f>'Competitor''s Rate'!V14</f>
        <v>45.857142857142854</v>
      </c>
      <c r="G58" s="93">
        <f>'Competitor''s Rate'!W14</f>
        <v>67.714285714285708</v>
      </c>
      <c r="H58" s="93" t="str">
        <f>'Competitor''s Rate'!X14</f>
        <v>-</v>
      </c>
      <c r="I58" s="94">
        <f t="shared" si="0"/>
        <v>56.785714285714278</v>
      </c>
      <c r="J58" s="94">
        <f t="shared" si="6"/>
        <v>45.857142857142854</v>
      </c>
      <c r="K58" s="94">
        <f t="shared" si="2"/>
        <v>67.714285714285708</v>
      </c>
      <c r="L58" s="93">
        <f>IFERROR(_xlfn.XLOOKUP(P58,'Europcar rates'!G:G,'Europcar rates'!D:D),"-")</f>
        <v>40.142857142857146</v>
      </c>
      <c r="M58" s="95">
        <f t="shared" si="3"/>
        <v>-0.29308176100628913</v>
      </c>
      <c r="N58" s="96" t="str">
        <f t="shared" si="7"/>
        <v>✅ Below Market</v>
      </c>
      <c r="O58" s="97" t="str">
        <f t="shared" si="5"/>
        <v>Hold — Room to Increase Rate</v>
      </c>
      <c r="P58" s="99" t="s">
        <v>75</v>
      </c>
    </row>
    <row r="59" spans="1:16" ht="46" customHeight="1" x14ac:dyDescent="0.2">
      <c r="A59" s="90" t="s">
        <v>27</v>
      </c>
      <c r="B59" s="91" t="s">
        <v>18</v>
      </c>
      <c r="C59" s="92" t="s">
        <v>7</v>
      </c>
      <c r="D59" s="93" t="str">
        <f>'Competitor''s Rate'!T15</f>
        <v>-</v>
      </c>
      <c r="E59" s="93" t="str">
        <f>'Competitor''s Rate'!U15</f>
        <v>-</v>
      </c>
      <c r="F59" s="93">
        <f>'Competitor''s Rate'!V15</f>
        <v>44.142857142857146</v>
      </c>
      <c r="G59" s="93">
        <f>'Competitor''s Rate'!W15</f>
        <v>76.857142857142861</v>
      </c>
      <c r="H59" s="93" t="str">
        <f>'Competitor''s Rate'!X15</f>
        <v>-</v>
      </c>
      <c r="I59" s="94">
        <f t="shared" si="0"/>
        <v>60.5</v>
      </c>
      <c r="J59" s="94">
        <f t="shared" si="6"/>
        <v>44.142857142857146</v>
      </c>
      <c r="K59" s="94">
        <f t="shared" si="2"/>
        <v>76.857142857142861</v>
      </c>
      <c r="L59" s="93">
        <f>IFERROR(_xlfn.XLOOKUP(P59,'Europcar rates'!G:G,'Europcar rates'!E:E),"-")</f>
        <v>28.571428571428573</v>
      </c>
      <c r="M59" s="95">
        <f t="shared" si="3"/>
        <v>-0.52774498229043676</v>
      </c>
      <c r="N59" s="96" t="str">
        <f t="shared" si="7"/>
        <v>✅ Below Market</v>
      </c>
      <c r="O59" s="97" t="str">
        <f t="shared" si="5"/>
        <v>Hold — Room to Increase Rate</v>
      </c>
      <c r="P59" s="99" t="s">
        <v>75</v>
      </c>
    </row>
    <row r="60" spans="1:16" ht="46" customHeight="1" x14ac:dyDescent="0.2">
      <c r="A60" s="90" t="s">
        <v>27</v>
      </c>
      <c r="B60" s="91" t="s">
        <v>18</v>
      </c>
      <c r="C60" s="92" t="s">
        <v>10</v>
      </c>
      <c r="D60" s="93" t="str">
        <f>'Competitor''s Rate'!T16</f>
        <v>-</v>
      </c>
      <c r="E60" s="93" t="str">
        <f>'Competitor''s Rate'!U16</f>
        <v>-</v>
      </c>
      <c r="F60" s="93">
        <f>'Competitor''s Rate'!V16</f>
        <v>45.857142857142854</v>
      </c>
      <c r="G60" s="93">
        <f>'Competitor''s Rate'!W16</f>
        <v>121.14285714285714</v>
      </c>
      <c r="H60" s="93" t="str">
        <f>'Competitor''s Rate'!X16</f>
        <v>-</v>
      </c>
      <c r="I60" s="94">
        <f t="shared" si="0"/>
        <v>83.5</v>
      </c>
      <c r="J60" s="94">
        <f t="shared" si="6"/>
        <v>45.857142857142854</v>
      </c>
      <c r="K60" s="94">
        <f t="shared" si="2"/>
        <v>121.14285714285714</v>
      </c>
      <c r="L60" s="93">
        <f>IFERROR(_xlfn.XLOOKUP(P60,'Europcar rates'!G:G,'Europcar rates'!F:F),"-")</f>
        <v>49.428571428571431</v>
      </c>
      <c r="M60" s="95">
        <f t="shared" si="3"/>
        <v>-0.40804106073567148</v>
      </c>
      <c r="N60" s="96" t="str">
        <f t="shared" si="7"/>
        <v>✅ Below Market</v>
      </c>
      <c r="O60" s="97" t="str">
        <f t="shared" si="5"/>
        <v>Hold — Room to Increase Rate</v>
      </c>
      <c r="P60" s="99" t="s">
        <v>75</v>
      </c>
    </row>
    <row r="61" spans="1:16" ht="46" customHeight="1" x14ac:dyDescent="0.2">
      <c r="A61" s="90" t="s">
        <v>27</v>
      </c>
      <c r="B61" s="91" t="s">
        <v>5</v>
      </c>
      <c r="C61" s="92" t="s">
        <v>8</v>
      </c>
      <c r="D61" s="93" t="str">
        <f>'Competitor''s Rate'!T19</f>
        <v>-</v>
      </c>
      <c r="E61" s="93" t="str">
        <f>'Competitor''s Rate'!U19</f>
        <v>-</v>
      </c>
      <c r="F61" s="93">
        <f>'Competitor''s Rate'!V19</f>
        <v>46.285714285714285</v>
      </c>
      <c r="G61" s="93">
        <f>'Competitor''s Rate'!W19</f>
        <v>45</v>
      </c>
      <c r="H61" s="93" t="str">
        <f>'Competitor''s Rate'!X19</f>
        <v>-</v>
      </c>
      <c r="I61" s="94">
        <f t="shared" si="0"/>
        <v>45.642857142857139</v>
      </c>
      <c r="J61" s="94">
        <f t="shared" si="6"/>
        <v>45</v>
      </c>
      <c r="K61" s="94">
        <f t="shared" si="2"/>
        <v>46.285714285714285</v>
      </c>
      <c r="L61" s="93">
        <f>IFERROR(_xlfn.XLOOKUP(P61,'Europcar rates'!G:G,'Europcar rates'!C:C),"-")</f>
        <v>31.571428571428573</v>
      </c>
      <c r="M61" s="95">
        <f t="shared" si="3"/>
        <v>-0.3082942097026603</v>
      </c>
      <c r="N61" s="96" t="str">
        <f t="shared" si="7"/>
        <v>✅ Below Market</v>
      </c>
      <c r="O61" s="97" t="str">
        <f t="shared" si="5"/>
        <v>Hold — Room to Increase Rate</v>
      </c>
      <c r="P61" s="99" t="str">
        <f>'Europcar rates'!G21</f>
        <v>Galway | SUV</v>
      </c>
    </row>
    <row r="62" spans="1:16" ht="46" customHeight="1" x14ac:dyDescent="0.2">
      <c r="A62" s="90" t="s">
        <v>27</v>
      </c>
      <c r="B62" s="91" t="s">
        <v>5</v>
      </c>
      <c r="C62" s="92" t="s">
        <v>9</v>
      </c>
      <c r="D62" s="93" t="str">
        <f>'Competitor''s Rate'!T20</f>
        <v>-</v>
      </c>
      <c r="E62" s="93" t="str">
        <f>'Competitor''s Rate'!U20</f>
        <v>-</v>
      </c>
      <c r="F62" s="93">
        <f>'Competitor''s Rate'!V20</f>
        <v>47.285714285714285</v>
      </c>
      <c r="G62" s="93">
        <f>'Competitor''s Rate'!W20</f>
        <v>85.142857142857139</v>
      </c>
      <c r="H62" s="93" t="str">
        <f>'Competitor''s Rate'!X20</f>
        <v>-</v>
      </c>
      <c r="I62" s="94">
        <f t="shared" si="0"/>
        <v>66.214285714285708</v>
      </c>
      <c r="J62" s="94">
        <f t="shared" si="6"/>
        <v>47.285714285714285</v>
      </c>
      <c r="K62" s="94">
        <f t="shared" si="2"/>
        <v>85.142857142857139</v>
      </c>
      <c r="L62" s="93">
        <f>IFERROR(_xlfn.XLOOKUP(P62,'Europcar rates'!G:G,'Europcar rates'!D:D),"-")</f>
        <v>47.857142857142854</v>
      </c>
      <c r="M62" s="95">
        <f t="shared" si="3"/>
        <v>-0.27723840345199569</v>
      </c>
      <c r="N62" s="96" t="str">
        <f t="shared" si="7"/>
        <v>✅ Below Market</v>
      </c>
      <c r="O62" s="97" t="str">
        <f t="shared" si="5"/>
        <v>Hold — Room to Increase Rate</v>
      </c>
      <c r="P62" s="99" t="s">
        <v>76</v>
      </c>
    </row>
    <row r="63" spans="1:16" ht="46" customHeight="1" x14ac:dyDescent="0.2">
      <c r="A63" s="90" t="s">
        <v>27</v>
      </c>
      <c r="B63" s="91" t="s">
        <v>5</v>
      </c>
      <c r="C63" s="92" t="s">
        <v>7</v>
      </c>
      <c r="D63" s="93" t="str">
        <f>'Competitor''s Rate'!T21</f>
        <v>-</v>
      </c>
      <c r="E63" s="93" t="str">
        <f>'Competitor''s Rate'!U21</f>
        <v>-</v>
      </c>
      <c r="F63" s="93">
        <f>'Competitor''s Rate'!V21</f>
        <v>46.285714285714285</v>
      </c>
      <c r="G63" s="93">
        <f>'Competitor''s Rate'!W21</f>
        <v>94.857142857142861</v>
      </c>
      <c r="H63" s="93" t="str">
        <f>'Competitor''s Rate'!X21</f>
        <v>-</v>
      </c>
      <c r="I63" s="94">
        <f t="shared" si="0"/>
        <v>70.571428571428569</v>
      </c>
      <c r="J63" s="94">
        <f t="shared" si="6"/>
        <v>46.285714285714285</v>
      </c>
      <c r="K63" s="94">
        <f t="shared" si="2"/>
        <v>94.857142857142861</v>
      </c>
      <c r="L63" s="93">
        <f>IFERROR(_xlfn.XLOOKUP(P63,'Europcar rates'!G:G,'Europcar rates'!E:E),"-")</f>
        <v>34.428571428571431</v>
      </c>
      <c r="M63" s="95">
        <f t="shared" si="3"/>
        <v>-0.51214574898785425</v>
      </c>
      <c r="N63" s="96" t="str">
        <f t="shared" si="7"/>
        <v>✅ Below Market</v>
      </c>
      <c r="O63" s="97" t="str">
        <f t="shared" si="5"/>
        <v>Hold — Room to Increase Rate</v>
      </c>
      <c r="P63" s="99" t="s">
        <v>76</v>
      </c>
    </row>
    <row r="64" spans="1:16" ht="46" customHeight="1" x14ac:dyDescent="0.2">
      <c r="A64" s="90" t="s">
        <v>27</v>
      </c>
      <c r="B64" s="91" t="s">
        <v>5</v>
      </c>
      <c r="C64" s="92" t="s">
        <v>10</v>
      </c>
      <c r="D64" s="93" t="str">
        <f>'Competitor''s Rate'!T22</f>
        <v>-</v>
      </c>
      <c r="E64" s="93" t="str">
        <f>'Competitor''s Rate'!U22</f>
        <v>-</v>
      </c>
      <c r="F64" s="93">
        <f>'Competitor''s Rate'!V22</f>
        <v>47.285714285714285</v>
      </c>
      <c r="G64" s="93">
        <f>'Competitor''s Rate'!W22</f>
        <v>153.85714285714286</v>
      </c>
      <c r="H64" s="93" t="str">
        <f>'Competitor''s Rate'!X22</f>
        <v>-</v>
      </c>
      <c r="I64" s="94">
        <f t="shared" si="0"/>
        <v>100.57142857142857</v>
      </c>
      <c r="J64" s="94">
        <f t="shared" si="6"/>
        <v>47.285714285714285</v>
      </c>
      <c r="K64" s="94">
        <f t="shared" si="2"/>
        <v>153.85714285714286</v>
      </c>
      <c r="L64" s="93">
        <f>IFERROR(_xlfn.XLOOKUP(P64,'Europcar rates'!G:G,'Europcar rates'!F:F),"-")</f>
        <v>58</v>
      </c>
      <c r="M64" s="95">
        <f t="shared" si="3"/>
        <v>-0.42329545454545453</v>
      </c>
      <c r="N64" s="96" t="str">
        <f t="shared" si="7"/>
        <v>✅ Below Market</v>
      </c>
      <c r="O64" s="97" t="str">
        <f t="shared" si="5"/>
        <v>Hold — Room to Increase Rate</v>
      </c>
      <c r="P64" s="99" t="s">
        <v>76</v>
      </c>
    </row>
    <row r="65" spans="1:16" ht="46" customHeight="1" x14ac:dyDescent="0.2">
      <c r="A65" s="90" t="s">
        <v>27</v>
      </c>
      <c r="B65" s="91" t="s">
        <v>65</v>
      </c>
      <c r="C65" s="92" t="s">
        <v>8</v>
      </c>
      <c r="D65" s="93" t="str">
        <f>'Competitor''s Rate'!T25</f>
        <v>-</v>
      </c>
      <c r="E65" s="93" t="str">
        <f>'Competitor''s Rate'!U25</f>
        <v>-</v>
      </c>
      <c r="F65" s="93" t="str">
        <f>'Competitor''s Rate'!V25</f>
        <v>-</v>
      </c>
      <c r="G65" s="93">
        <f>'Competitor''s Rate'!W25</f>
        <v>121.71428571428571</v>
      </c>
      <c r="H65" s="93" t="str">
        <f>'Competitor''s Rate'!X25</f>
        <v>-</v>
      </c>
      <c r="I65" s="94">
        <f t="shared" si="0"/>
        <v>121.71428571428571</v>
      </c>
      <c r="J65" s="94">
        <f t="shared" si="6"/>
        <v>121.71428571428571</v>
      </c>
      <c r="K65" s="94">
        <f t="shared" si="2"/>
        <v>121.71428571428571</v>
      </c>
      <c r="L65" s="93" t="str">
        <f>IFERROR(_xlfn.XLOOKUP(P65,'Europcar rates'!G:G,'Europcar rates'!C:C),"-")</f>
        <v>-</v>
      </c>
      <c r="M65" s="95" t="str">
        <f t="shared" si="3"/>
        <v>-</v>
      </c>
      <c r="N65" s="96" t="str">
        <f t="shared" si="7"/>
        <v>⚪ Not Offered by Europcar</v>
      </c>
      <c r="O65" s="97" t="str">
        <f t="shared" si="5"/>
        <v>See opportunity analysis on dashboard</v>
      </c>
      <c r="P65" s="99" t="str">
        <f>'Europcar rates'!G22</f>
        <v>Galway | People carrier</v>
      </c>
    </row>
    <row r="66" spans="1:16" ht="46" customHeight="1" x14ac:dyDescent="0.2">
      <c r="A66" s="90" t="s">
        <v>27</v>
      </c>
      <c r="B66" s="91" t="s">
        <v>65</v>
      </c>
      <c r="C66" s="92" t="s">
        <v>9</v>
      </c>
      <c r="D66" s="93" t="str">
        <f>'Competitor''s Rate'!T26</f>
        <v>-</v>
      </c>
      <c r="E66" s="93" t="str">
        <f>'Competitor''s Rate'!U26</f>
        <v>-</v>
      </c>
      <c r="F66" s="93">
        <f>'Competitor''s Rate'!V26</f>
        <v>84.571428571428569</v>
      </c>
      <c r="G66" s="93">
        <f>'Competitor''s Rate'!W26</f>
        <v>248.14285714285714</v>
      </c>
      <c r="H66" s="93" t="str">
        <f>'Competitor''s Rate'!X26</f>
        <v>-</v>
      </c>
      <c r="I66" s="94">
        <f t="shared" si="0"/>
        <v>166.35714285714286</v>
      </c>
      <c r="J66" s="94">
        <f t="shared" si="6"/>
        <v>84.571428571428569</v>
      </c>
      <c r="K66" s="94">
        <f t="shared" si="2"/>
        <v>248.14285714285714</v>
      </c>
      <c r="L66" s="93" t="str">
        <f>IFERROR(_xlfn.XLOOKUP(P66,'Europcar rates'!G:G,'Europcar rates'!D:D),"-")</f>
        <v>-</v>
      </c>
      <c r="M66" s="95" t="str">
        <f t="shared" si="3"/>
        <v>-</v>
      </c>
      <c r="N66" s="96" t="str">
        <f t="shared" si="7"/>
        <v>⚪ Not Offered by Europcar</v>
      </c>
      <c r="O66" s="97" t="str">
        <f t="shared" si="5"/>
        <v>See opportunity analysis on dashboard</v>
      </c>
      <c r="P66" s="99" t="s">
        <v>77</v>
      </c>
    </row>
    <row r="67" spans="1:16" ht="46" customHeight="1" x14ac:dyDescent="0.2">
      <c r="A67" s="90" t="s">
        <v>27</v>
      </c>
      <c r="B67" s="91" t="s">
        <v>65</v>
      </c>
      <c r="C67" s="92" t="s">
        <v>7</v>
      </c>
      <c r="D67" s="93" t="str">
        <f>'Competitor''s Rate'!T27</f>
        <v>-</v>
      </c>
      <c r="E67" s="93" t="str">
        <f>'Competitor''s Rate'!U27</f>
        <v>-</v>
      </c>
      <c r="F67" s="93" t="str">
        <f>'Competitor''s Rate'!V27</f>
        <v>-</v>
      </c>
      <c r="G67" s="93">
        <f>'Competitor''s Rate'!W27</f>
        <v>174</v>
      </c>
      <c r="H67" s="93" t="str">
        <f>'Competitor''s Rate'!X27</f>
        <v>-</v>
      </c>
      <c r="I67" s="94">
        <f t="shared" si="0"/>
        <v>174</v>
      </c>
      <c r="J67" s="94">
        <f t="shared" si="6"/>
        <v>174</v>
      </c>
      <c r="K67" s="94">
        <f t="shared" si="2"/>
        <v>174</v>
      </c>
      <c r="L67" s="93" t="str">
        <f>IFERROR(_xlfn.XLOOKUP(P67,'Europcar rates'!G:G,'Europcar rates'!E:E),"-")</f>
        <v>-</v>
      </c>
      <c r="M67" s="95" t="str">
        <f t="shared" si="3"/>
        <v>-</v>
      </c>
      <c r="N67" s="96" t="str">
        <f t="shared" si="7"/>
        <v>⚪ Not Offered by Europcar</v>
      </c>
      <c r="O67" s="97" t="str">
        <f t="shared" si="5"/>
        <v>See opportunity analysis on dashboard</v>
      </c>
      <c r="P67" s="99" t="s">
        <v>77</v>
      </c>
    </row>
    <row r="68" spans="1:16" ht="46" customHeight="1" x14ac:dyDescent="0.2">
      <c r="A68" s="90" t="s">
        <v>27</v>
      </c>
      <c r="B68" s="91" t="s">
        <v>65</v>
      </c>
      <c r="C68" s="92" t="s">
        <v>10</v>
      </c>
      <c r="D68" s="93" t="str">
        <f>'Competitor''s Rate'!T28</f>
        <v>-</v>
      </c>
      <c r="E68" s="93" t="str">
        <f>'Competitor''s Rate'!U28</f>
        <v>-</v>
      </c>
      <c r="F68" s="93">
        <f>'Competitor''s Rate'!V28</f>
        <v>75.571428571428569</v>
      </c>
      <c r="G68" s="93">
        <f>'Competitor''s Rate'!W28</f>
        <v>287</v>
      </c>
      <c r="H68" s="93" t="str">
        <f>'Competitor''s Rate'!X28</f>
        <v>-</v>
      </c>
      <c r="I68" s="94">
        <f t="shared" si="0"/>
        <v>181.28571428571428</v>
      </c>
      <c r="J68" s="94">
        <f t="shared" si="6"/>
        <v>75.571428571428569</v>
      </c>
      <c r="K68" s="94">
        <f t="shared" si="2"/>
        <v>287</v>
      </c>
      <c r="L68" s="93" t="str">
        <f>IFERROR(_xlfn.XLOOKUP(P68,'Europcar rates'!G:G,'Europcar rates'!F:F),"-")</f>
        <v>-</v>
      </c>
      <c r="M68" s="95" t="str">
        <f t="shared" si="3"/>
        <v>-</v>
      </c>
      <c r="N68" s="96" t="str">
        <f t="shared" si="7"/>
        <v>⚪ Not Offered by Europcar</v>
      </c>
      <c r="O68" s="97" t="str">
        <f t="shared" si="5"/>
        <v>See opportunity analysis on dashboard</v>
      </c>
      <c r="P68" s="99" t="s">
        <v>77</v>
      </c>
    </row>
    <row r="71" spans="1:16" ht="24" x14ac:dyDescent="0.3">
      <c r="A71" s="182" t="s">
        <v>78</v>
      </c>
      <c r="B71" s="183"/>
      <c r="C71" s="183"/>
      <c r="D71" s="183"/>
      <c r="E71" s="183"/>
      <c r="F71" s="183"/>
      <c r="G71" s="183"/>
      <c r="H71" s="183"/>
      <c r="I71" s="183"/>
      <c r="J71" s="183"/>
      <c r="K71" s="183"/>
      <c r="L71" s="183"/>
      <c r="M71" s="183"/>
      <c r="N71" s="183"/>
      <c r="O71" s="183"/>
    </row>
    <row r="72" spans="1:16" x14ac:dyDescent="0.2">
      <c r="A72" s="184" t="s">
        <v>79</v>
      </c>
      <c r="B72" s="185"/>
      <c r="C72" s="185"/>
      <c r="D72" s="185"/>
      <c r="E72" s="185"/>
      <c r="F72" s="185"/>
      <c r="G72" s="185"/>
      <c r="H72" s="185"/>
      <c r="I72" s="185"/>
      <c r="J72" s="185"/>
      <c r="K72" s="185"/>
      <c r="L72" s="185"/>
      <c r="M72" s="185"/>
      <c r="N72" s="185"/>
      <c r="O72" s="185"/>
    </row>
    <row r="73" spans="1:16" ht="19" x14ac:dyDescent="0.2">
      <c r="A73" s="103" t="s">
        <v>0</v>
      </c>
      <c r="B73" s="103" t="s">
        <v>3</v>
      </c>
      <c r="C73" s="103" t="s">
        <v>4</v>
      </c>
      <c r="D73" s="103" t="s">
        <v>5</v>
      </c>
      <c r="E73" s="103" t="s">
        <v>65</v>
      </c>
      <c r="F73" s="103" t="s">
        <v>80</v>
      </c>
    </row>
    <row r="74" spans="1:16" ht="19" x14ac:dyDescent="0.2">
      <c r="A74" s="104" t="s">
        <v>2</v>
      </c>
      <c r="B74" s="105">
        <f>IFERROR(AVERAGEIFS(M5:M68,A5:A68,"Dublin Airport",B5:B68,"Economy (Small Car)"),"-")</f>
        <v>-0.21867616159973963</v>
      </c>
      <c r="C74" s="105">
        <f>IFERROR(AVERAGEIFS(M5:M68,A5:A68,"Dublin Airport",B5:B68,"Compact (Medium Car)"),"-")</f>
        <v>-0.1661856175642811</v>
      </c>
      <c r="D74" s="105">
        <f>IFERROR(AVERAGEIFS(M5:M68,A5:A68,"Dublin Airport",B5:B68,"SUV"),"-")</f>
        <v>-0.12922601460353234</v>
      </c>
      <c r="E74" s="105">
        <f>IFERROR(AVERAGEIFS(M5:M68,A5:A68,"Dublin Airport",B5:B68,"People Carrier"),"-")</f>
        <v>-0.67646543954609928</v>
      </c>
      <c r="F74" s="106">
        <f>IFERROR(AVERAGE(B74,C74,D74,E74),"-")</f>
        <v>-0.29763830832841309</v>
      </c>
    </row>
    <row r="75" spans="1:16" ht="19" x14ac:dyDescent="0.2">
      <c r="A75" s="104" t="s">
        <v>22</v>
      </c>
      <c r="B75" s="105">
        <f>IFERROR(AVERAGEIFS(M5:M68,A5:A68,"Cork Airport",B5:B68,"Economy (Small Car)"),"-")</f>
        <v>-0.21223903235760727</v>
      </c>
      <c r="C75" s="105">
        <f>IFERROR(AVERAGEIFS(M5:M68,A5:A68,"Cork Airport",B5:B68,"Compact (Medium Car)"),"-")</f>
        <v>-0.22703547791362613</v>
      </c>
      <c r="D75" s="105">
        <f>IFERROR(AVERAGEIFS(M5:M68,A5:A68,"Cork Airport",B5:B68,"SUV"),"-")</f>
        <v>-0.16734943495552224</v>
      </c>
      <c r="E75" s="105" t="str">
        <f>IFERROR(AVERAGEIFS(M5:M68,A5:A68,"Cork Airport",B5:B68,"People Carrier"),"-")</f>
        <v>-</v>
      </c>
      <c r="F75" s="106">
        <f>IFERROR(AVERAGE(B75,C75,D75,E75),"-")</f>
        <v>-0.20220798174225188</v>
      </c>
    </row>
    <row r="76" spans="1:16" ht="19" x14ac:dyDescent="0.2">
      <c r="A76" s="104" t="s">
        <v>24</v>
      </c>
      <c r="B76" s="105">
        <f>IFERROR(AVERAGEIFS(M5:M68,A5:A68,"Shannon Airport",B5:B68,"Economy (Small Car)"),"-")</f>
        <v>-0.21079813755233831</v>
      </c>
      <c r="C76" s="105">
        <f>IFERROR(AVERAGEIFS(M5:M68,A5:A68,"Shannon Airport",B5:B68,"Compact (Medium Car)"),"-")</f>
        <v>-0.22297774252535613</v>
      </c>
      <c r="D76" s="105">
        <f>IFERROR(AVERAGEIFS(M5:M68,A5:A68,"Shannon Airport",B5:B68,"SUV"),"-")</f>
        <v>-0.17473337663118216</v>
      </c>
      <c r="E76" s="105" t="str">
        <f>IFERROR(AVERAGEIFS(M5:M68,A5:A68,"Shannon Airport",B5:B68,"People Carrier"),"-")</f>
        <v>-</v>
      </c>
      <c r="F76" s="106">
        <f>IFERROR(AVERAGE(B76,C76,D76,E76),"-")</f>
        <v>-0.20283641890295886</v>
      </c>
    </row>
    <row r="77" spans="1:16" ht="19" x14ac:dyDescent="0.2">
      <c r="A77" s="104" t="s">
        <v>27</v>
      </c>
      <c r="B77" s="105">
        <f>IFERROR(AVERAGEIFS(M5:M68,A5:A68,"Galway",B5:B68,"Economy (Small Car)"),"-")</f>
        <v>-0.38069491085512619</v>
      </c>
      <c r="C77" s="105">
        <f>IFERROR(AVERAGEIFS(M5:M68,A5:A68,"Galway",B5:B68,"Compact (Medium Car)"),"-")</f>
        <v>-0.40755708706252114</v>
      </c>
      <c r="D77" s="105">
        <f>IFERROR(AVERAGEIFS(M5:M68,A5:A68,"Galway",B5:B68,"SUV"),"-")</f>
        <v>-0.38024345417199124</v>
      </c>
      <c r="E77" s="105" t="str">
        <f>IFERROR(AVERAGEIFS(M5:M68,A5:A68,"Galway",B5:B68,"People Carrier"),"-")</f>
        <v>-</v>
      </c>
      <c r="F77" s="106">
        <f>IFERROR(AVERAGE(B77,C77,D77,E77),"-")</f>
        <v>-0.38949848402987958</v>
      </c>
    </row>
    <row r="78" spans="1:16" ht="19" x14ac:dyDescent="0.2">
      <c r="A78" s="104" t="s">
        <v>81</v>
      </c>
      <c r="B78" s="106">
        <f>IFERROR(AVERAGE(B74,B75,B76,B77),"-")</f>
        <v>-0.25560206059120283</v>
      </c>
      <c r="C78" s="106">
        <f>IFERROR(AVERAGE(C74,C75,C76,C77),"-")</f>
        <v>-0.2559389812664461</v>
      </c>
      <c r="D78" s="106">
        <f>IFERROR(AVERAGE(D74,D75,D76,D77),"-")</f>
        <v>-0.21288807009055699</v>
      </c>
      <c r="E78" s="106">
        <f>IFERROR(AVERAGE(E74,E75,E76,E77),"-")</f>
        <v>-0.67646543954609928</v>
      </c>
      <c r="F78" s="107"/>
    </row>
    <row r="83" spans="2:2" x14ac:dyDescent="0.2">
      <c r="B83" s="101"/>
    </row>
  </sheetData>
  <mergeCells count="5">
    <mergeCell ref="A1:P1"/>
    <mergeCell ref="A2:P2"/>
    <mergeCell ref="A3:P3"/>
    <mergeCell ref="A71:O71"/>
    <mergeCell ref="A72:O7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2780-7B61-AF49-8778-BB3324DDC007}">
  <dimension ref="A1:K48"/>
  <sheetViews>
    <sheetView tabSelected="1" workbookViewId="0">
      <selection activeCell="R17" sqref="R17"/>
    </sheetView>
  </sheetViews>
  <sheetFormatPr baseColWidth="10" defaultRowHeight="16" x14ac:dyDescent="0.2"/>
  <sheetData>
    <row r="1" spans="1:11" x14ac:dyDescent="0.2">
      <c r="A1" s="135" t="s">
        <v>82</v>
      </c>
      <c r="B1" s="136"/>
      <c r="C1" s="136"/>
      <c r="D1" s="136"/>
      <c r="E1" s="136"/>
      <c r="F1" s="136"/>
      <c r="G1" s="136"/>
      <c r="H1" s="136"/>
      <c r="I1" s="136"/>
      <c r="J1" s="136"/>
      <c r="K1" s="136"/>
    </row>
    <row r="2" spans="1:11" x14ac:dyDescent="0.2">
      <c r="A2" s="137" t="s">
        <v>83</v>
      </c>
      <c r="B2" s="138"/>
      <c r="C2" s="138"/>
      <c r="D2" s="138"/>
      <c r="E2" s="138"/>
      <c r="F2" s="138"/>
      <c r="G2" s="138"/>
      <c r="H2" s="138"/>
      <c r="I2" s="138"/>
      <c r="J2" s="138"/>
      <c r="K2" s="138"/>
    </row>
    <row r="4" spans="1:11" ht="40" customHeight="1" x14ac:dyDescent="0.2">
      <c r="A4" s="139" t="s">
        <v>84</v>
      </c>
      <c r="B4" s="136"/>
      <c r="C4" s="136"/>
      <c r="D4" s="136"/>
      <c r="E4" s="136"/>
      <c r="F4" s="136"/>
    </row>
    <row r="5" spans="1:11" ht="42" x14ac:dyDescent="0.2">
      <c r="A5" s="89" t="s">
        <v>0</v>
      </c>
      <c r="B5" s="89" t="s">
        <v>85</v>
      </c>
      <c r="C5" s="89" t="s">
        <v>86</v>
      </c>
      <c r="D5" s="89" t="s">
        <v>87</v>
      </c>
      <c r="E5" s="89" t="s">
        <v>88</v>
      </c>
      <c r="F5" s="89" t="s">
        <v>63</v>
      </c>
    </row>
    <row r="6" spans="1:11" ht="28" x14ac:dyDescent="0.2">
      <c r="A6" s="90" t="s">
        <v>2</v>
      </c>
      <c r="B6" s="93">
        <f>IFERROR(AVERAGE('Variance Analysis'!L8,'Variance Analysis'!L12,'Variance Analysis'!L16,'Variance Analysis'!L20),"-")</f>
        <v>60.035714285714285</v>
      </c>
      <c r="C6" s="93">
        <f>IFERROR(AVERAGE('Variance Analysis'!I8,'Variance Analysis'!I12,'Variance Analysis'!I16,'Variance Analysis'!I20),"-")</f>
        <v>105.00892857142856</v>
      </c>
      <c r="D6" s="94">
        <f>IFERROR(B6-C6,"-")</f>
        <v>-44.97321428571427</v>
      </c>
      <c r="E6" s="95">
        <f>IFERROR((B6-C6)/C6,"-")</f>
        <v>-0.42827990817107381</v>
      </c>
      <c r="F6" s="96" t="str">
        <f>IFERROR(IF(B6&lt;=C6*0.9,"✅ Below Market",IF(B6&lt;=C6*1.1,"🟡 At Market","🔴 Above Market")),"-")</f>
        <v>✅ Below Market</v>
      </c>
    </row>
    <row r="7" spans="1:11" ht="28" x14ac:dyDescent="0.2">
      <c r="A7" s="90" t="s">
        <v>22</v>
      </c>
      <c r="B7" s="93">
        <f>IFERROR(AVERAGE('Variance Analysis'!L24,'Variance Analysis'!L28,'Variance Analysis'!L32),"-")</f>
        <v>48.428571428571423</v>
      </c>
      <c r="C7" s="93">
        <f>IFERROR(AVERAGE('Variance Analysis'!I24,'Variance Analysis'!I28,'Variance Analysis'!I32),"-")</f>
        <v>62.047619047619058</v>
      </c>
      <c r="D7" s="94">
        <f>IFERROR(B7-C7,"-")</f>
        <v>-13.619047619047635</v>
      </c>
      <c r="E7" s="95">
        <f>IFERROR((B7-C7)/C7,"-")</f>
        <v>-0.21949347659247911</v>
      </c>
      <c r="F7" s="96" t="str">
        <f>IFERROR(IF(B7&lt;=C7*0.9,"✅ Below Market",IF(B7&lt;=C7*1.1,"🟡 At Market","🔴 Above Market")),"-")</f>
        <v>✅ Below Market</v>
      </c>
    </row>
    <row r="8" spans="1:11" ht="28" x14ac:dyDescent="0.2">
      <c r="A8" s="90" t="s">
        <v>24</v>
      </c>
      <c r="B8" s="93">
        <f>IFERROR(AVERAGE('Variance Analysis'!L40,'Variance Analysis'!L44,'Variance Analysis'!L48),"-")</f>
        <v>48.428571428571423</v>
      </c>
      <c r="C8" s="93">
        <f>IFERROR(AVERAGE('Variance Analysis'!I40,'Variance Analysis'!I44,'Variance Analysis'!I48),"-")</f>
        <v>62.361904761904775</v>
      </c>
      <c r="D8" s="94">
        <f>IFERROR(B8-C8,"-")</f>
        <v>-13.933333333333351</v>
      </c>
      <c r="E8" s="95">
        <f>IFERROR((B8-C8)/C8,"-")</f>
        <v>-0.22342700061087378</v>
      </c>
      <c r="F8" s="96" t="str">
        <f>IFERROR(IF(B8&lt;=C8*0.9,"✅ Below Market",IF(B8&lt;=C8*1.1,"🟡 At Market","🔴 Above Market")),"-")</f>
        <v>✅ Below Market</v>
      </c>
    </row>
    <row r="9" spans="1:11" ht="28" x14ac:dyDescent="0.2">
      <c r="A9" s="90" t="s">
        <v>27</v>
      </c>
      <c r="B9" s="93">
        <f>IFERROR(AVERAGE('Variance Analysis'!L56,'Variance Analysis'!L60,'Variance Analysis'!L64),"-")</f>
        <v>50.952380952380956</v>
      </c>
      <c r="C9" s="93">
        <f>IFERROR(AVERAGE('Variance Analysis'!I56,'Variance Analysis'!I60,'Variance Analysis'!I64),"-")</f>
        <v>88.261904761904759</v>
      </c>
      <c r="D9" s="94">
        <f>IFERROR(B9-C9,"-")</f>
        <v>-37.309523809523803</v>
      </c>
      <c r="E9" s="95">
        <f>IFERROR((B9-C9)/C9,"-")</f>
        <v>-0.42271378473158883</v>
      </c>
      <c r="F9" s="96" t="str">
        <f>IFERROR(IF(B9&lt;=C9*0.9,"✅ Below Market",IF(B9&lt;=C9*1.1,"🟡 At Market","🔴 Above Market")),"-")</f>
        <v>✅ Below Market</v>
      </c>
    </row>
    <row r="12" spans="1:11" ht="48" customHeight="1" x14ac:dyDescent="0.2">
      <c r="A12" s="144" t="s">
        <v>89</v>
      </c>
      <c r="B12" s="144"/>
      <c r="C12" s="144"/>
      <c r="D12" s="144"/>
      <c r="E12" s="144"/>
    </row>
    <row r="13" spans="1:11" ht="28" x14ac:dyDescent="0.2">
      <c r="A13" s="89" t="s">
        <v>0</v>
      </c>
      <c r="B13" s="89" t="s">
        <v>3</v>
      </c>
      <c r="C13" s="89" t="s">
        <v>4</v>
      </c>
      <c r="D13" s="89" t="s">
        <v>5</v>
      </c>
      <c r="E13" s="89" t="s">
        <v>65</v>
      </c>
    </row>
    <row r="14" spans="1:11" ht="28" x14ac:dyDescent="0.2">
      <c r="A14" s="90" t="s">
        <v>2</v>
      </c>
      <c r="B14" s="102" t="str">
        <f>'Variance Analysis'!N8</f>
        <v>✅ Below Market</v>
      </c>
      <c r="C14" s="102" t="str">
        <f>'Variance Analysis'!N12</f>
        <v>✅ Below Market</v>
      </c>
      <c r="D14" s="102" t="str">
        <f>'Variance Analysis'!N16</f>
        <v>✅ Below Market</v>
      </c>
      <c r="E14" s="102" t="str">
        <f>'Variance Analysis'!N20</f>
        <v>✅ Below Market</v>
      </c>
    </row>
    <row r="15" spans="1:11" ht="42" x14ac:dyDescent="0.2">
      <c r="A15" s="90" t="s">
        <v>22</v>
      </c>
      <c r="B15" s="102" t="str">
        <f>'Variance Analysis'!N24</f>
        <v>✅ Below Market</v>
      </c>
      <c r="C15" s="102" t="str">
        <f>'Variance Analysis'!N28</f>
        <v>✅ Below Market</v>
      </c>
      <c r="D15" s="102" t="str">
        <f>'Variance Analysis'!N32</f>
        <v>✅ Below Market</v>
      </c>
      <c r="E15" s="102" t="str">
        <f>'Variance Analysis'!N36</f>
        <v>⚪ Not Offered by Europcar</v>
      </c>
    </row>
    <row r="16" spans="1:11" ht="42" x14ac:dyDescent="0.2">
      <c r="A16" s="90" t="s">
        <v>24</v>
      </c>
      <c r="B16" s="102" t="str">
        <f>'Variance Analysis'!N40</f>
        <v>✅ Below Market</v>
      </c>
      <c r="C16" s="102" t="str">
        <f>'Variance Analysis'!N44</f>
        <v>✅ Below Market</v>
      </c>
      <c r="D16" s="102" t="str">
        <f>'Variance Analysis'!N48</f>
        <v>✅ Below Market</v>
      </c>
      <c r="E16" s="102" t="str">
        <f>'Variance Analysis'!N52</f>
        <v>⚪ Not Offered by Europcar</v>
      </c>
    </row>
    <row r="17" spans="1:6" ht="42" x14ac:dyDescent="0.2">
      <c r="A17" s="90" t="s">
        <v>27</v>
      </c>
      <c r="B17" s="102" t="str">
        <f>'Variance Analysis'!N56</f>
        <v>✅ Below Market</v>
      </c>
      <c r="C17" s="102" t="str">
        <f>'Variance Analysis'!N60</f>
        <v>✅ Below Market</v>
      </c>
      <c r="D17" s="102" t="str">
        <f>'Variance Analysis'!N64</f>
        <v>✅ Below Market</v>
      </c>
      <c r="E17" s="102" t="str">
        <f>'Variance Analysis'!N68</f>
        <v>⚪ Not Offered by Europcar</v>
      </c>
    </row>
    <row r="19" spans="1:6" ht="31" customHeight="1" x14ac:dyDescent="0.2">
      <c r="A19" s="139" t="s">
        <v>110</v>
      </c>
      <c r="B19" s="136"/>
      <c r="C19" s="136"/>
      <c r="D19" s="136"/>
      <c r="E19" s="136"/>
      <c r="F19" s="136"/>
    </row>
    <row r="20" spans="1:6" ht="42" x14ac:dyDescent="0.2">
      <c r="A20" s="89" t="s">
        <v>0</v>
      </c>
      <c r="B20" s="89" t="s">
        <v>85</v>
      </c>
      <c r="C20" s="89" t="s">
        <v>86</v>
      </c>
      <c r="D20" s="89" t="s">
        <v>87</v>
      </c>
      <c r="E20" s="89" t="s">
        <v>88</v>
      </c>
      <c r="F20" s="89" t="s">
        <v>63</v>
      </c>
    </row>
    <row r="21" spans="1:6" ht="28" x14ac:dyDescent="0.2">
      <c r="A21" s="90" t="s">
        <v>2</v>
      </c>
      <c r="B21" s="93">
        <f>IFERROR(AVERAGE('Variance Analysis'!L7,'Variance Analysis'!L11,'Variance Analysis'!L15),"-")</f>
        <v>28.238095238095241</v>
      </c>
      <c r="C21" s="93">
        <f>IFERROR(AVERAGE('Variance Analysis'!I7,'Variance Analysis'!I11,'Variance Analysis'!I15),"-")</f>
        <v>35.885714285714286</v>
      </c>
      <c r="D21" s="94">
        <f>IFERROR(B21-C21,"-")</f>
        <v>-7.6476190476190453</v>
      </c>
      <c r="E21" s="95">
        <f>IFERROR((B21-C21)/C21,"-")</f>
        <v>-0.21311040339702753</v>
      </c>
      <c r="F21" s="96" t="str">
        <f>IFERROR(IF(B21&lt;=C21*0.9,"✅ Below Market",IF(B21&lt;=C21*1.1,"🟡 At Market","🔴 Above Market")),"-")</f>
        <v>✅ Below Market</v>
      </c>
    </row>
    <row r="22" spans="1:6" ht="28" x14ac:dyDescent="0.2">
      <c r="A22" s="90" t="s">
        <v>22</v>
      </c>
      <c r="B22" s="93">
        <f>IFERROR(AVERAGE('Variance Analysis'!L23,'Variance Analysis'!L27,'Variance Analysis'!L31),"-")</f>
        <v>28.238095238095241</v>
      </c>
      <c r="C22" s="93">
        <f>IFERROR(AVERAGE('Variance Analysis'!I23,'Variance Analysis'!I27,'Variance Analysis'!I31),"-")</f>
        <v>36.980952380952381</v>
      </c>
      <c r="D22" s="94">
        <f>IFERROR(B22-C22,"-")</f>
        <v>-8.7428571428571402</v>
      </c>
      <c r="E22" s="95">
        <f>IFERROR((B22-C22)/C22,"-")</f>
        <v>-0.2364151429307236</v>
      </c>
      <c r="F22" s="96" t="str">
        <f>IFERROR(IF(B22&lt;=C22*0.9,"✅ Below Market",IF(B22&lt;=C22*1.1,"🟡 At Market","🔴 Above Market")),"-")</f>
        <v>✅ Below Market</v>
      </c>
    </row>
    <row r="23" spans="1:6" ht="28" x14ac:dyDescent="0.2">
      <c r="A23" s="90" t="s">
        <v>24</v>
      </c>
      <c r="B23" s="93">
        <f>IFERROR(AVERAGE('Variance Analysis'!L39,'Variance Analysis'!L43,'Variance Analysis'!L47),"-")</f>
        <v>28.238095238095241</v>
      </c>
      <c r="C23" s="93">
        <f>IFERROR(AVERAGE('Variance Analysis'!I39,'Variance Analysis'!I43,'Variance Analysis'!I47),"-")</f>
        <v>32.990476190476187</v>
      </c>
      <c r="D23" s="94">
        <f>IFERROR(B23-C23,"-")</f>
        <v>-4.7523809523809462</v>
      </c>
      <c r="E23" s="95">
        <f>IFERROR((B23-C23)/C23,"-")</f>
        <v>-0.14405311778290975</v>
      </c>
      <c r="F23" s="96" t="str">
        <f>IFERROR(IF(B23&lt;=C23*0.9,"✅ Below Market",IF(B23&lt;=C23*1.1,"🟡 At Market","🔴 Above Market")),"-")</f>
        <v>✅ Below Market</v>
      </c>
    </row>
    <row r="24" spans="1:6" ht="28" x14ac:dyDescent="0.2">
      <c r="A24" s="90" t="s">
        <v>27</v>
      </c>
      <c r="B24" s="93">
        <f>IFERROR(AVERAGE('Variance Analysis'!L55,'Variance Analysis'!L59,'Variance Analysis'!L63),"-")</f>
        <v>30.190476190476193</v>
      </c>
      <c r="C24" s="93">
        <f>IFERROR(AVERAGE('Variance Analysis'!I55,'Variance Analysis'!I59,'Variance Analysis'!I63),"-")</f>
        <v>61.166666666666664</v>
      </c>
      <c r="D24" s="94">
        <f>IFERROR(B24-C24,"-")</f>
        <v>-30.976190476190471</v>
      </c>
      <c r="E24" s="95">
        <f>IFERROR((B24-C24)/C24,"-")</f>
        <v>-0.50642273258077064</v>
      </c>
      <c r="F24" s="96" t="str">
        <f>IFERROR(IF(B24&lt;=C24*0.9,"✅ Below Market",IF(B24&lt;=C24*1.1,"🟡 At Market","🔴 Above Market")),"-")</f>
        <v>✅ Below Market</v>
      </c>
    </row>
    <row r="25" spans="1:6" x14ac:dyDescent="0.2">
      <c r="A25" s="110"/>
      <c r="B25" s="111"/>
      <c r="C25" s="111"/>
      <c r="D25" s="111"/>
      <c r="E25" s="111"/>
    </row>
    <row r="26" spans="1:6" ht="46" customHeight="1" x14ac:dyDescent="0.2">
      <c r="A26" s="144" t="s">
        <v>111</v>
      </c>
      <c r="B26" s="144"/>
      <c r="C26" s="144"/>
      <c r="D26" s="144"/>
      <c r="E26" s="144"/>
    </row>
    <row r="27" spans="1:6" ht="28" x14ac:dyDescent="0.2">
      <c r="A27" s="89" t="s">
        <v>0</v>
      </c>
      <c r="B27" s="89" t="s">
        <v>3</v>
      </c>
      <c r="C27" s="89" t="s">
        <v>4</v>
      </c>
      <c r="D27" s="89" t="s">
        <v>5</v>
      </c>
      <c r="E27" s="89" t="s">
        <v>65</v>
      </c>
    </row>
    <row r="28" spans="1:6" ht="42" x14ac:dyDescent="0.2">
      <c r="A28" s="90" t="s">
        <v>2</v>
      </c>
      <c r="B28" s="102" t="str">
        <f>'Variance Analysis'!N7</f>
        <v>✅ Below Market</v>
      </c>
      <c r="C28" s="102" t="str">
        <f>'Variance Analysis'!N11</f>
        <v>✅ Below Market</v>
      </c>
      <c r="D28" s="102" t="str">
        <f>'Variance Analysis'!N15</f>
        <v>✅ Below Market</v>
      </c>
      <c r="E28" s="102" t="str">
        <f>'Variance Analysis'!N19</f>
        <v>⚪ Not Offered by Europcar</v>
      </c>
    </row>
    <row r="29" spans="1:6" ht="42" x14ac:dyDescent="0.2">
      <c r="A29" s="90" t="s">
        <v>22</v>
      </c>
      <c r="B29" s="102" t="str">
        <f>'Variance Analysis'!N23</f>
        <v>✅ Below Market</v>
      </c>
      <c r="C29" s="102" t="str">
        <f>'Variance Analysis'!N27</f>
        <v>✅ Below Market</v>
      </c>
      <c r="D29" s="102" t="str">
        <f>'Variance Analysis'!N31</f>
        <v>✅ Below Market</v>
      </c>
      <c r="E29" s="102" t="str">
        <f>'Variance Analysis'!N35</f>
        <v>⚪ Not Offered by Europcar</v>
      </c>
    </row>
    <row r="30" spans="1:6" ht="42" x14ac:dyDescent="0.2">
      <c r="A30" s="90" t="s">
        <v>24</v>
      </c>
      <c r="B30" s="102" t="str">
        <f>'Variance Analysis'!N39</f>
        <v>✅ Below Market</v>
      </c>
      <c r="C30" s="102" t="str">
        <f>'Variance Analysis'!N43</f>
        <v>✅ Below Market</v>
      </c>
      <c r="D30" s="102" t="str">
        <f>'Variance Analysis'!N47</f>
        <v>🟡 At Market</v>
      </c>
      <c r="E30" s="102" t="str">
        <f>'Variance Analysis'!N51</f>
        <v>⚪ Not Offered by Europcar</v>
      </c>
    </row>
    <row r="31" spans="1:6" ht="42" x14ac:dyDescent="0.2">
      <c r="A31" s="90" t="s">
        <v>27</v>
      </c>
      <c r="B31" s="102" t="str">
        <f>'Variance Analysis'!N55</f>
        <v>✅ Below Market</v>
      </c>
      <c r="C31" s="102" t="str">
        <f>'Variance Analysis'!N59</f>
        <v>✅ Below Market</v>
      </c>
      <c r="D31" s="102" t="str">
        <f>'Variance Analysis'!N63</f>
        <v>✅ Below Market</v>
      </c>
      <c r="E31" s="102" t="str">
        <f>'Variance Analysis'!N67</f>
        <v>⚪ Not Offered by Europcar</v>
      </c>
    </row>
    <row r="32" spans="1:6" x14ac:dyDescent="0.2">
      <c r="A32" s="110"/>
      <c r="B32" s="111"/>
      <c r="C32" s="111"/>
      <c r="D32" s="111"/>
      <c r="E32" s="111"/>
    </row>
    <row r="35" spans="1:11" ht="36" customHeight="1" x14ac:dyDescent="0.2">
      <c r="A35" s="140" t="s">
        <v>90</v>
      </c>
      <c r="B35" s="141"/>
      <c r="C35" s="141"/>
      <c r="D35" s="141"/>
      <c r="E35" s="141"/>
      <c r="F35" s="141"/>
      <c r="G35" s="141"/>
      <c r="H35" s="141"/>
      <c r="I35" s="141"/>
      <c r="J35" s="141"/>
      <c r="K35" s="141"/>
    </row>
    <row r="36" spans="1:11" ht="47" customHeight="1" x14ac:dyDescent="0.2">
      <c r="A36" s="142" t="s">
        <v>91</v>
      </c>
      <c r="B36" s="141"/>
      <c r="C36" s="143" t="s">
        <v>92</v>
      </c>
      <c r="D36" s="141"/>
      <c r="E36" s="141"/>
      <c r="F36" s="141"/>
      <c r="G36" s="141"/>
      <c r="H36" s="141"/>
      <c r="I36" s="141"/>
      <c r="J36" s="141"/>
      <c r="K36" s="141"/>
    </row>
    <row r="37" spans="1:11" ht="39" customHeight="1" x14ac:dyDescent="0.2">
      <c r="A37" s="142" t="s">
        <v>93</v>
      </c>
      <c r="B37" s="141"/>
      <c r="C37" s="143" t="s">
        <v>94</v>
      </c>
      <c r="D37" s="141"/>
      <c r="E37" s="141"/>
      <c r="F37" s="141"/>
      <c r="G37" s="141"/>
      <c r="H37" s="141"/>
      <c r="I37" s="141"/>
      <c r="J37" s="141"/>
      <c r="K37" s="141"/>
    </row>
    <row r="38" spans="1:11" ht="50" customHeight="1" x14ac:dyDescent="0.2">
      <c r="A38" s="142" t="s">
        <v>95</v>
      </c>
      <c r="B38" s="141"/>
      <c r="C38" s="143" t="s">
        <v>96</v>
      </c>
      <c r="D38" s="141"/>
      <c r="E38" s="141"/>
      <c r="F38" s="141"/>
      <c r="G38" s="141"/>
      <c r="H38" s="141"/>
      <c r="I38" s="141"/>
      <c r="J38" s="141"/>
      <c r="K38" s="141"/>
    </row>
    <row r="39" spans="1:11" ht="37" customHeight="1" x14ac:dyDescent="0.2">
      <c r="A39" s="142" t="s">
        <v>97</v>
      </c>
      <c r="B39" s="141"/>
      <c r="C39" s="143" t="s">
        <v>98</v>
      </c>
      <c r="D39" s="141"/>
      <c r="E39" s="141"/>
      <c r="F39" s="141"/>
      <c r="G39" s="141"/>
      <c r="H39" s="141"/>
      <c r="I39" s="141"/>
      <c r="J39" s="141"/>
      <c r="K39" s="141"/>
    </row>
    <row r="40" spans="1:11" ht="49" customHeight="1" x14ac:dyDescent="0.2">
      <c r="A40" s="142" t="s">
        <v>99</v>
      </c>
      <c r="B40" s="141"/>
      <c r="C40" s="143" t="s">
        <v>100</v>
      </c>
      <c r="D40" s="141"/>
      <c r="E40" s="141"/>
      <c r="F40" s="141"/>
      <c r="G40" s="141"/>
      <c r="H40" s="141"/>
      <c r="I40" s="141"/>
      <c r="J40" s="141"/>
      <c r="K40" s="141"/>
    </row>
    <row r="41" spans="1:11" ht="48" customHeight="1" x14ac:dyDescent="0.2">
      <c r="A41" s="142" t="s">
        <v>104</v>
      </c>
      <c r="B41" s="141"/>
      <c r="C41" s="143" t="s">
        <v>105</v>
      </c>
      <c r="D41" s="141"/>
      <c r="E41" s="141"/>
      <c r="F41" s="141"/>
      <c r="G41" s="141"/>
      <c r="H41" s="141"/>
      <c r="I41" s="141"/>
      <c r="J41" s="141"/>
      <c r="K41" s="141"/>
    </row>
    <row r="42" spans="1:11" ht="43" customHeight="1" x14ac:dyDescent="0.2">
      <c r="A42" s="142" t="s">
        <v>106</v>
      </c>
      <c r="B42" s="141"/>
      <c r="C42" s="143" t="s">
        <v>107</v>
      </c>
      <c r="D42" s="141"/>
      <c r="E42" s="141"/>
      <c r="F42" s="141"/>
      <c r="G42" s="141"/>
      <c r="H42" s="141"/>
      <c r="I42" s="141"/>
      <c r="J42" s="141"/>
      <c r="K42" s="141"/>
    </row>
    <row r="43" spans="1:11" ht="78" customHeight="1" x14ac:dyDescent="0.2">
      <c r="A43" s="142" t="s">
        <v>108</v>
      </c>
      <c r="B43" s="141"/>
      <c r="C43" s="143" t="s">
        <v>109</v>
      </c>
      <c r="D43" s="141"/>
      <c r="E43" s="141"/>
      <c r="F43" s="141"/>
      <c r="G43" s="141"/>
      <c r="H43" s="141"/>
      <c r="I43" s="141"/>
      <c r="J43" s="141"/>
      <c r="K43" s="141"/>
    </row>
    <row r="46" spans="1:11" x14ac:dyDescent="0.2">
      <c r="B46" s="108"/>
    </row>
    <row r="47" spans="1:11" x14ac:dyDescent="0.2">
      <c r="B47" s="108"/>
    </row>
    <row r="48" spans="1:11" x14ac:dyDescent="0.2">
      <c r="B48" s="108"/>
    </row>
  </sheetData>
  <mergeCells count="23">
    <mergeCell ref="A43:B43"/>
    <mergeCell ref="C42:K42"/>
    <mergeCell ref="C43:K43"/>
    <mergeCell ref="A12:E12"/>
    <mergeCell ref="A36:B36"/>
    <mergeCell ref="C36:K36"/>
    <mergeCell ref="C41:K41"/>
    <mergeCell ref="A41:B41"/>
    <mergeCell ref="A42:B42"/>
    <mergeCell ref="A1:K1"/>
    <mergeCell ref="A2:K2"/>
    <mergeCell ref="A4:F4"/>
    <mergeCell ref="A35:K35"/>
    <mergeCell ref="A40:B40"/>
    <mergeCell ref="C40:K40"/>
    <mergeCell ref="A37:B37"/>
    <mergeCell ref="C37:K37"/>
    <mergeCell ref="A38:B38"/>
    <mergeCell ref="C38:K38"/>
    <mergeCell ref="A39:B39"/>
    <mergeCell ref="C39:K39"/>
    <mergeCell ref="A19:F19"/>
    <mergeCell ref="A26:E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Europcar rates</vt:lpstr>
      <vt:lpstr>Competitor's Rate</vt:lpstr>
      <vt:lpstr>Variance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Suprit  Tamhane</dc:creator>
  <cp:lastModifiedBy>Suprit  Tamhane</cp:lastModifiedBy>
  <dcterms:created xsi:type="dcterms:W3CDTF">2026-04-29T18:51:47Z</dcterms:created>
  <dcterms:modified xsi:type="dcterms:W3CDTF">2026-05-02T18:53:16Z</dcterms:modified>
</cp:coreProperties>
</file>